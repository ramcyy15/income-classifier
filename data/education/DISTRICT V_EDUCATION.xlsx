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 Indicio\Downloads\"/>
    </mc:Choice>
  </mc:AlternateContent>
  <xr:revisionPtr revIDLastSave="0" documentId="8_{4EB1CC94-63C8-4DF3-A9AD-A8A948CDCD3F}" xr6:coauthVersionLast="47" xr6:coauthVersionMax="47" xr10:uidLastSave="{00000000-0000-0000-0000-000000000000}"/>
  <bookViews>
    <workbookView xWindow="-108" yWindow="-108" windowWidth="23256" windowHeight="13896" activeTab="1" xr2:uid="{D5067167-505B-4EFA-A1F4-1FD93E8D0DD4}"/>
  </bookViews>
  <sheets>
    <sheet name="Processed_4Ps" sheetId="2" r:id="rId1"/>
    <sheet name="RAWDATA_4Ps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L575" i="1" l="1"/>
  <c r="CM575" i="1"/>
  <c r="CN575" i="1"/>
  <c r="CL576" i="1"/>
  <c r="CM576" i="1"/>
  <c r="CN576" i="1"/>
  <c r="CL577" i="1"/>
  <c r="CM577" i="1"/>
  <c r="CN577" i="1"/>
  <c r="CL578" i="1"/>
  <c r="CM578" i="1"/>
  <c r="CN578" i="1"/>
  <c r="CL579" i="1"/>
  <c r="CM579" i="1"/>
  <c r="CN579" i="1"/>
  <c r="CL580" i="1"/>
  <c r="CM580" i="1"/>
  <c r="CN580" i="1"/>
  <c r="CL581" i="1"/>
  <c r="CM581" i="1"/>
  <c r="CN581" i="1"/>
  <c r="CL582" i="1"/>
  <c r="CM582" i="1"/>
  <c r="CN582" i="1"/>
  <c r="CL583" i="1"/>
  <c r="CM583" i="1"/>
  <c r="CN583" i="1"/>
  <c r="CL584" i="1"/>
  <c r="CM584" i="1"/>
  <c r="CN584" i="1"/>
  <c r="CL585" i="1"/>
  <c r="CM585" i="1"/>
  <c r="CN585" i="1"/>
  <c r="CL586" i="1"/>
  <c r="CM586" i="1"/>
  <c r="CN586" i="1"/>
  <c r="CL587" i="1"/>
  <c r="CM587" i="1"/>
  <c r="CN587" i="1"/>
  <c r="CL588" i="1"/>
  <c r="CM588" i="1"/>
  <c r="CN588" i="1"/>
  <c r="CL589" i="1"/>
  <c r="CM589" i="1"/>
  <c r="CN589" i="1"/>
  <c r="CL590" i="1"/>
  <c r="CM590" i="1"/>
  <c r="CN590" i="1"/>
  <c r="CL591" i="1"/>
  <c r="CM591" i="1"/>
  <c r="CN591" i="1"/>
  <c r="CL592" i="1"/>
  <c r="CM592" i="1"/>
  <c r="CN592" i="1"/>
  <c r="CL593" i="1"/>
  <c r="CM593" i="1"/>
  <c r="CN593" i="1"/>
  <c r="CL594" i="1"/>
  <c r="CM594" i="1"/>
  <c r="CN594" i="1"/>
  <c r="CL595" i="1"/>
  <c r="CM595" i="1"/>
  <c r="CN595" i="1"/>
  <c r="CL596" i="1"/>
  <c r="CM596" i="1"/>
  <c r="CN596" i="1"/>
  <c r="CL597" i="1"/>
  <c r="CM597" i="1"/>
  <c r="CN597" i="1"/>
  <c r="CL598" i="1"/>
  <c r="CM598" i="1"/>
  <c r="CN598" i="1"/>
  <c r="CL599" i="1"/>
  <c r="CM599" i="1"/>
  <c r="CN599" i="1"/>
  <c r="CL600" i="1"/>
  <c r="CM600" i="1"/>
  <c r="CN600" i="1"/>
  <c r="CL601" i="1"/>
  <c r="CM601" i="1"/>
  <c r="CN601" i="1"/>
  <c r="CL602" i="1"/>
  <c r="CM602" i="1"/>
  <c r="CN602" i="1"/>
  <c r="CL603" i="1"/>
  <c r="CM603" i="1"/>
  <c r="CN603" i="1"/>
  <c r="CL604" i="1"/>
  <c r="CM604" i="1"/>
  <c r="CN604" i="1"/>
  <c r="CL605" i="1"/>
  <c r="CM605" i="1"/>
  <c r="CN605" i="1"/>
  <c r="CL606" i="1"/>
  <c r="CM606" i="1"/>
  <c r="CN606" i="1"/>
  <c r="CL607" i="1"/>
  <c r="CM607" i="1"/>
  <c r="CN607" i="1"/>
  <c r="CL608" i="1"/>
  <c r="CM608" i="1"/>
  <c r="CN608" i="1"/>
  <c r="CL609" i="1"/>
  <c r="CM609" i="1"/>
  <c r="CN609" i="1"/>
  <c r="CL610" i="1"/>
  <c r="CM610" i="1"/>
  <c r="CN610" i="1"/>
  <c r="CL611" i="1"/>
  <c r="CM611" i="1"/>
  <c r="CN611" i="1"/>
  <c r="CL612" i="1"/>
  <c r="CM612" i="1"/>
  <c r="CN612" i="1"/>
  <c r="CL613" i="1"/>
  <c r="CM613" i="1"/>
  <c r="CN613" i="1"/>
  <c r="CL614" i="1"/>
  <c r="CM614" i="1"/>
  <c r="CN614" i="1"/>
  <c r="CL615" i="1"/>
  <c r="CM615" i="1"/>
  <c r="CN615" i="1"/>
  <c r="CL616" i="1"/>
  <c r="CM616" i="1"/>
  <c r="CN616" i="1"/>
  <c r="CL617" i="1"/>
  <c r="CM617" i="1"/>
  <c r="CN617" i="1"/>
  <c r="CL618" i="1"/>
  <c r="CM618" i="1"/>
  <c r="CN618" i="1"/>
  <c r="CL619" i="1"/>
  <c r="CM619" i="1"/>
  <c r="CN619" i="1"/>
  <c r="CL620" i="1"/>
  <c r="CM620" i="1"/>
  <c r="CN620" i="1"/>
  <c r="CL621" i="1"/>
  <c r="CM621" i="1"/>
  <c r="CN621" i="1"/>
  <c r="CL622" i="1"/>
  <c r="CM622" i="1"/>
  <c r="CN622" i="1"/>
  <c r="CL623" i="1"/>
  <c r="CM623" i="1"/>
  <c r="CN623" i="1"/>
  <c r="CL624" i="1"/>
  <c r="CM624" i="1"/>
  <c r="CN624" i="1"/>
  <c r="CL625" i="1"/>
  <c r="CM625" i="1"/>
  <c r="CN625" i="1"/>
  <c r="CL626" i="1"/>
  <c r="CM626" i="1"/>
  <c r="CN626" i="1"/>
  <c r="CL627" i="1"/>
  <c r="CM627" i="1"/>
  <c r="CN627" i="1"/>
  <c r="CL628" i="1"/>
  <c r="CM628" i="1"/>
  <c r="CN628" i="1"/>
  <c r="CL629" i="1"/>
  <c r="CM629" i="1"/>
  <c r="CN629" i="1"/>
  <c r="CL630" i="1"/>
  <c r="CM630" i="1"/>
  <c r="CN630" i="1"/>
  <c r="CL631" i="1"/>
  <c r="CM631" i="1"/>
  <c r="CN631" i="1"/>
  <c r="CL632" i="1"/>
  <c r="CM632" i="1"/>
  <c r="CN632" i="1"/>
  <c r="CL633" i="1"/>
  <c r="CM633" i="1"/>
  <c r="CN633" i="1"/>
  <c r="CL634" i="1"/>
  <c r="CM634" i="1"/>
  <c r="CN634" i="1"/>
  <c r="CL635" i="1"/>
  <c r="CM635" i="1"/>
  <c r="CN635" i="1"/>
  <c r="CL636" i="1"/>
  <c r="CM636" i="1"/>
  <c r="CN636" i="1"/>
  <c r="CL637" i="1"/>
  <c r="CM637" i="1"/>
  <c r="CN637" i="1"/>
  <c r="CL638" i="1"/>
  <c r="CM638" i="1"/>
  <c r="CN638" i="1"/>
  <c r="CL639" i="1"/>
  <c r="CM639" i="1"/>
  <c r="CN639" i="1"/>
  <c r="CL640" i="1"/>
  <c r="CM640" i="1"/>
  <c r="CN640" i="1"/>
  <c r="CL641" i="1"/>
  <c r="CM641" i="1"/>
  <c r="CN641" i="1"/>
  <c r="CL642" i="1"/>
  <c r="CM642" i="1"/>
  <c r="CN642" i="1"/>
  <c r="CL643" i="1"/>
  <c r="CM643" i="1"/>
  <c r="CN643" i="1"/>
  <c r="CL644" i="1"/>
  <c r="CM644" i="1"/>
  <c r="CN644" i="1"/>
  <c r="CL645" i="1"/>
  <c r="CM645" i="1"/>
  <c r="CN645" i="1"/>
  <c r="CL646" i="1"/>
  <c r="CM646" i="1"/>
  <c r="CN646" i="1"/>
  <c r="CL647" i="1"/>
  <c r="CM647" i="1"/>
  <c r="CN647" i="1"/>
  <c r="CL648" i="1"/>
  <c r="CM648" i="1"/>
  <c r="CN648" i="1"/>
  <c r="CL649" i="1"/>
  <c r="CM649" i="1"/>
  <c r="CN649" i="1"/>
  <c r="CL650" i="1"/>
  <c r="CM650" i="1"/>
  <c r="CN650" i="1"/>
  <c r="CL651" i="1"/>
  <c r="CM651" i="1"/>
  <c r="CN651" i="1"/>
  <c r="CL652" i="1"/>
  <c r="CM652" i="1"/>
  <c r="CN652" i="1"/>
  <c r="CL653" i="1"/>
  <c r="CM653" i="1"/>
  <c r="CN653" i="1"/>
  <c r="CL654" i="1"/>
  <c r="CM654" i="1"/>
  <c r="CN654" i="1"/>
  <c r="CL655" i="1"/>
  <c r="CM655" i="1"/>
  <c r="CN655" i="1"/>
  <c r="CL656" i="1"/>
  <c r="CM656" i="1"/>
  <c r="CN656" i="1"/>
  <c r="CL657" i="1"/>
  <c r="CM657" i="1"/>
  <c r="CN657" i="1"/>
  <c r="CL658" i="1"/>
  <c r="CM658" i="1"/>
  <c r="CN658" i="1"/>
  <c r="CL659" i="1"/>
  <c r="CM659" i="1"/>
  <c r="CN659" i="1"/>
  <c r="CL660" i="1"/>
  <c r="CM660" i="1"/>
  <c r="CN660" i="1"/>
  <c r="CL661" i="1"/>
  <c r="CM661" i="1"/>
  <c r="CN661" i="1"/>
  <c r="CL662" i="1"/>
  <c r="CM662" i="1"/>
  <c r="CN662" i="1"/>
  <c r="CL663" i="1"/>
  <c r="CM663" i="1"/>
  <c r="CN663" i="1"/>
  <c r="CL664" i="1"/>
  <c r="CM664" i="1"/>
  <c r="CN664" i="1"/>
  <c r="CL665" i="1"/>
  <c r="CM665" i="1"/>
  <c r="CN665" i="1"/>
  <c r="CL666" i="1"/>
  <c r="CM666" i="1"/>
  <c r="CN666" i="1"/>
  <c r="CL667" i="1"/>
  <c r="CM667" i="1"/>
  <c r="CN667" i="1"/>
  <c r="CL668" i="1"/>
  <c r="CM668" i="1"/>
  <c r="CN668" i="1"/>
  <c r="CL669" i="1"/>
  <c r="CM669" i="1"/>
  <c r="CN669" i="1"/>
  <c r="CL670" i="1"/>
  <c r="CM670" i="1"/>
  <c r="CN670" i="1"/>
  <c r="CN574" i="1"/>
  <c r="CL574" i="1"/>
  <c r="CM574" i="1"/>
  <c r="CI575" i="1"/>
  <c r="CJ575" i="1"/>
  <c r="CK575" i="1"/>
  <c r="CI576" i="1"/>
  <c r="CJ576" i="1"/>
  <c r="CK576" i="1"/>
  <c r="CI577" i="1"/>
  <c r="CJ577" i="1"/>
  <c r="CK577" i="1"/>
  <c r="CI578" i="1"/>
  <c r="CJ578" i="1"/>
  <c r="CK578" i="1"/>
  <c r="CI579" i="1"/>
  <c r="CJ579" i="1"/>
  <c r="CK579" i="1"/>
  <c r="CI580" i="1"/>
  <c r="CK580" i="1" s="1"/>
  <c r="CJ580" i="1"/>
  <c r="CI581" i="1"/>
  <c r="CK581" i="1" s="1"/>
  <c r="CJ581" i="1"/>
  <c r="CI582" i="1"/>
  <c r="CJ582" i="1"/>
  <c r="CK582" i="1"/>
  <c r="CI583" i="1"/>
  <c r="CJ583" i="1"/>
  <c r="CK583" i="1"/>
  <c r="CI584" i="1"/>
  <c r="CJ584" i="1"/>
  <c r="CK584" i="1"/>
  <c r="CI585" i="1"/>
  <c r="CK585" i="1" s="1"/>
  <c r="CJ585" i="1"/>
  <c r="CI586" i="1"/>
  <c r="CK586" i="1" s="1"/>
  <c r="CJ586" i="1"/>
  <c r="CI587" i="1"/>
  <c r="CJ587" i="1"/>
  <c r="CK587" i="1"/>
  <c r="CI588" i="1"/>
  <c r="CJ588" i="1"/>
  <c r="CK588" i="1"/>
  <c r="CI589" i="1"/>
  <c r="CJ589" i="1"/>
  <c r="CK589" i="1"/>
  <c r="CI590" i="1"/>
  <c r="CJ590" i="1"/>
  <c r="CK590" i="1"/>
  <c r="CI591" i="1"/>
  <c r="CJ591" i="1"/>
  <c r="CK591" i="1"/>
  <c r="CI592" i="1"/>
  <c r="CJ592" i="1"/>
  <c r="CK592" i="1"/>
  <c r="CI593" i="1"/>
  <c r="CJ593" i="1"/>
  <c r="CK593" i="1"/>
  <c r="CI594" i="1"/>
  <c r="CJ594" i="1"/>
  <c r="CK594" i="1"/>
  <c r="CI595" i="1"/>
  <c r="CJ595" i="1"/>
  <c r="CK595" i="1"/>
  <c r="CI596" i="1"/>
  <c r="CK596" i="1" s="1"/>
  <c r="CJ596" i="1"/>
  <c r="CI597" i="1"/>
  <c r="CK597" i="1" s="1"/>
  <c r="CJ597" i="1"/>
  <c r="CI598" i="1"/>
  <c r="CJ598" i="1"/>
  <c r="CK598" i="1"/>
  <c r="CI599" i="1"/>
  <c r="CJ599" i="1"/>
  <c r="CK599" i="1"/>
  <c r="CI600" i="1"/>
  <c r="CJ600" i="1"/>
  <c r="CK600" i="1"/>
  <c r="CI601" i="1"/>
  <c r="CK601" i="1" s="1"/>
  <c r="CJ601" i="1"/>
  <c r="CI602" i="1"/>
  <c r="CK602" i="1" s="1"/>
  <c r="CJ602" i="1"/>
  <c r="CI603" i="1"/>
  <c r="CJ603" i="1"/>
  <c r="CK603" i="1"/>
  <c r="CI604" i="1"/>
  <c r="CJ604" i="1"/>
  <c r="CK604" i="1"/>
  <c r="CI605" i="1"/>
  <c r="CJ605" i="1"/>
  <c r="CK605" i="1"/>
  <c r="CI606" i="1"/>
  <c r="CJ606" i="1"/>
  <c r="CK606" i="1"/>
  <c r="CI607" i="1"/>
  <c r="CJ607" i="1"/>
  <c r="CK607" i="1"/>
  <c r="CI608" i="1"/>
  <c r="CJ608" i="1"/>
  <c r="CK608" i="1"/>
  <c r="CI609" i="1"/>
  <c r="CJ609" i="1"/>
  <c r="CK609" i="1"/>
  <c r="CI610" i="1"/>
  <c r="CJ610" i="1"/>
  <c r="CK610" i="1"/>
  <c r="CI611" i="1"/>
  <c r="CJ611" i="1"/>
  <c r="CK611" i="1"/>
  <c r="CI612" i="1"/>
  <c r="CK612" i="1" s="1"/>
  <c r="CJ612" i="1"/>
  <c r="CI613" i="1"/>
  <c r="CK613" i="1" s="1"/>
  <c r="CJ613" i="1"/>
  <c r="CI614" i="1"/>
  <c r="CJ614" i="1"/>
  <c r="CK614" i="1"/>
  <c r="CI615" i="1"/>
  <c r="CJ615" i="1"/>
  <c r="CK615" i="1"/>
  <c r="CI616" i="1"/>
  <c r="CJ616" i="1"/>
  <c r="CK616" i="1"/>
  <c r="CI617" i="1"/>
  <c r="CK617" i="1" s="1"/>
  <c r="CJ617" i="1"/>
  <c r="CI618" i="1"/>
  <c r="CK618" i="1" s="1"/>
  <c r="CJ618" i="1"/>
  <c r="CI619" i="1"/>
  <c r="CJ619" i="1"/>
  <c r="CK619" i="1"/>
  <c r="CI620" i="1"/>
  <c r="CJ620" i="1"/>
  <c r="CK620" i="1"/>
  <c r="CI621" i="1"/>
  <c r="CJ621" i="1"/>
  <c r="CK621" i="1"/>
  <c r="CI622" i="1"/>
  <c r="CJ622" i="1"/>
  <c r="CK622" i="1"/>
  <c r="CI623" i="1"/>
  <c r="CJ623" i="1"/>
  <c r="CK623" i="1"/>
  <c r="CI624" i="1"/>
  <c r="CJ624" i="1"/>
  <c r="CK624" i="1"/>
  <c r="CI625" i="1"/>
  <c r="CJ625" i="1"/>
  <c r="CK625" i="1"/>
  <c r="CI626" i="1"/>
  <c r="CJ626" i="1"/>
  <c r="CK626" i="1"/>
  <c r="CI627" i="1"/>
  <c r="CJ627" i="1"/>
  <c r="CK627" i="1"/>
  <c r="CI628" i="1"/>
  <c r="CK628" i="1" s="1"/>
  <c r="CJ628" i="1"/>
  <c r="CI629" i="1"/>
  <c r="CK629" i="1" s="1"/>
  <c r="CJ629" i="1"/>
  <c r="CI630" i="1"/>
  <c r="CJ630" i="1"/>
  <c r="CK630" i="1"/>
  <c r="CI631" i="1"/>
  <c r="CJ631" i="1"/>
  <c r="CK631" i="1"/>
  <c r="CI632" i="1"/>
  <c r="CJ632" i="1"/>
  <c r="CK632" i="1"/>
  <c r="CI633" i="1"/>
  <c r="CK633" i="1" s="1"/>
  <c r="CJ633" i="1"/>
  <c r="CI634" i="1"/>
  <c r="CK634" i="1" s="1"/>
  <c r="CJ634" i="1"/>
  <c r="CI635" i="1"/>
  <c r="CJ635" i="1"/>
  <c r="CK635" i="1"/>
  <c r="CI636" i="1"/>
  <c r="CJ636" i="1"/>
  <c r="CK636" i="1"/>
  <c r="CI637" i="1"/>
  <c r="CJ637" i="1"/>
  <c r="CK637" i="1"/>
  <c r="CI638" i="1"/>
  <c r="CJ638" i="1"/>
  <c r="CK638" i="1"/>
  <c r="CI639" i="1"/>
  <c r="CJ639" i="1"/>
  <c r="CK639" i="1"/>
  <c r="CI640" i="1"/>
  <c r="CJ640" i="1"/>
  <c r="CK640" i="1"/>
  <c r="CI641" i="1"/>
  <c r="CJ641" i="1"/>
  <c r="CK641" i="1"/>
  <c r="CI642" i="1"/>
  <c r="CJ642" i="1"/>
  <c r="CK642" i="1"/>
  <c r="CI643" i="1"/>
  <c r="CJ643" i="1"/>
  <c r="CK643" i="1"/>
  <c r="CI644" i="1"/>
  <c r="CK644" i="1" s="1"/>
  <c r="CJ644" i="1"/>
  <c r="CI645" i="1"/>
  <c r="CK645" i="1" s="1"/>
  <c r="CJ645" i="1"/>
  <c r="CI646" i="1"/>
  <c r="CJ646" i="1"/>
  <c r="CK646" i="1"/>
  <c r="CI647" i="1"/>
  <c r="CJ647" i="1"/>
  <c r="CK647" i="1"/>
  <c r="CI648" i="1"/>
  <c r="CJ648" i="1"/>
  <c r="CK648" i="1"/>
  <c r="CI649" i="1"/>
  <c r="CK649" i="1" s="1"/>
  <c r="CJ649" i="1"/>
  <c r="CI650" i="1"/>
  <c r="CK650" i="1" s="1"/>
  <c r="CJ650" i="1"/>
  <c r="CI651" i="1"/>
  <c r="CJ651" i="1"/>
  <c r="CK651" i="1"/>
  <c r="CI652" i="1"/>
  <c r="CJ652" i="1"/>
  <c r="CK652" i="1"/>
  <c r="CI653" i="1"/>
  <c r="CJ653" i="1"/>
  <c r="CK653" i="1"/>
  <c r="CI654" i="1"/>
  <c r="CJ654" i="1"/>
  <c r="CK654" i="1"/>
  <c r="CI655" i="1"/>
  <c r="CJ655" i="1"/>
  <c r="CK655" i="1"/>
  <c r="CI656" i="1"/>
  <c r="CJ656" i="1"/>
  <c r="CK656" i="1"/>
  <c r="CI657" i="1"/>
  <c r="CJ657" i="1"/>
  <c r="CK657" i="1"/>
  <c r="CI658" i="1"/>
  <c r="CJ658" i="1"/>
  <c r="CK658" i="1"/>
  <c r="CI659" i="1"/>
  <c r="CJ659" i="1"/>
  <c r="CK659" i="1"/>
  <c r="CI660" i="1"/>
  <c r="CK660" i="1" s="1"/>
  <c r="CJ660" i="1"/>
  <c r="CI661" i="1"/>
  <c r="CK661" i="1" s="1"/>
  <c r="CJ661" i="1"/>
  <c r="CI662" i="1"/>
  <c r="CJ662" i="1"/>
  <c r="CK662" i="1"/>
  <c r="CI663" i="1"/>
  <c r="CJ663" i="1"/>
  <c r="CK663" i="1"/>
  <c r="CI664" i="1"/>
  <c r="CJ664" i="1"/>
  <c r="CK664" i="1"/>
  <c r="CI665" i="1"/>
  <c r="CK665" i="1" s="1"/>
  <c r="CJ665" i="1"/>
  <c r="CI666" i="1"/>
  <c r="CK666" i="1" s="1"/>
  <c r="CJ666" i="1"/>
  <c r="CI667" i="1"/>
  <c r="CJ667" i="1"/>
  <c r="CK667" i="1"/>
  <c r="CI668" i="1"/>
  <c r="CJ668" i="1"/>
  <c r="CK668" i="1"/>
  <c r="CI669" i="1"/>
  <c r="CJ669" i="1"/>
  <c r="CK669" i="1"/>
  <c r="CI670" i="1"/>
  <c r="CJ670" i="1"/>
  <c r="CK670" i="1"/>
  <c r="CK574" i="1"/>
  <c r="CJ574" i="1"/>
  <c r="CI574" i="1"/>
  <c r="AR575" i="1"/>
  <c r="AS575" i="1"/>
  <c r="AR576" i="1"/>
  <c r="AS576" i="1"/>
  <c r="AR577" i="1"/>
  <c r="AS577" i="1"/>
  <c r="AT577" i="1"/>
  <c r="AR578" i="1"/>
  <c r="AS578" i="1"/>
  <c r="AT578" i="1"/>
  <c r="AR579" i="1"/>
  <c r="AS579" i="1"/>
  <c r="AT579" i="1"/>
  <c r="AR580" i="1"/>
  <c r="AS580" i="1"/>
  <c r="AR581" i="1"/>
  <c r="AS581" i="1"/>
  <c r="AR582" i="1"/>
  <c r="AS582" i="1"/>
  <c r="AR583" i="1"/>
  <c r="AS583" i="1"/>
  <c r="AT583" i="1"/>
  <c r="AR584" i="1"/>
  <c r="AS584" i="1"/>
  <c r="AT584" i="1"/>
  <c r="AR585" i="1"/>
  <c r="AS585" i="1"/>
  <c r="AR586" i="1"/>
  <c r="AS586" i="1"/>
  <c r="AT586" i="1"/>
  <c r="AR587" i="1"/>
  <c r="AS587" i="1"/>
  <c r="AR588" i="1"/>
  <c r="AS588" i="1"/>
  <c r="AR589" i="1"/>
  <c r="AS589" i="1"/>
  <c r="AT589" i="1" s="1"/>
  <c r="AR590" i="1"/>
  <c r="AS590" i="1"/>
  <c r="AT590" i="1"/>
  <c r="AR591" i="1"/>
  <c r="AT591" i="1" s="1"/>
  <c r="AS591" i="1"/>
  <c r="AR592" i="1"/>
  <c r="AS592" i="1"/>
  <c r="AR593" i="1"/>
  <c r="AS593" i="1"/>
  <c r="AR594" i="1"/>
  <c r="AT594" i="1" s="1"/>
  <c r="AS594" i="1"/>
  <c r="AR595" i="1"/>
  <c r="AS595" i="1"/>
  <c r="AT595" i="1"/>
  <c r="AR596" i="1"/>
  <c r="AS596" i="1"/>
  <c r="AR597" i="1"/>
  <c r="AS597" i="1"/>
  <c r="AR598" i="1"/>
  <c r="AS598" i="1"/>
  <c r="AR599" i="1"/>
  <c r="AS599" i="1"/>
  <c r="AR600" i="1"/>
  <c r="AS600" i="1"/>
  <c r="AT600" i="1"/>
  <c r="AR601" i="1"/>
  <c r="AS601" i="1"/>
  <c r="AR602" i="1"/>
  <c r="AS602" i="1"/>
  <c r="AT602" i="1"/>
  <c r="AR603" i="1"/>
  <c r="AS603" i="1"/>
  <c r="AT603" i="1"/>
  <c r="AR604" i="1"/>
  <c r="AS604" i="1"/>
  <c r="AR605" i="1"/>
  <c r="AS605" i="1"/>
  <c r="AR606" i="1"/>
  <c r="AS606" i="1"/>
  <c r="AT606" i="1"/>
  <c r="AR607" i="1"/>
  <c r="AS607" i="1"/>
  <c r="AT607" i="1" s="1"/>
  <c r="AR608" i="1"/>
  <c r="AS608" i="1"/>
  <c r="AR609" i="1"/>
  <c r="AS609" i="1"/>
  <c r="AT609" i="1" s="1"/>
  <c r="AR610" i="1"/>
  <c r="AS610" i="1"/>
  <c r="AR611" i="1"/>
  <c r="AS611" i="1"/>
  <c r="AT611" i="1"/>
  <c r="AR612" i="1"/>
  <c r="AS612" i="1"/>
  <c r="AR613" i="1"/>
  <c r="AS613" i="1"/>
  <c r="AR614" i="1"/>
  <c r="AS614" i="1"/>
  <c r="AR615" i="1"/>
  <c r="AS615" i="1"/>
  <c r="AT615" i="1"/>
  <c r="AR616" i="1"/>
  <c r="AS616" i="1"/>
  <c r="AR617" i="1"/>
  <c r="AS617" i="1"/>
  <c r="AR618" i="1"/>
  <c r="AS618" i="1"/>
  <c r="AR619" i="1"/>
  <c r="AS619" i="1"/>
  <c r="AR620" i="1"/>
  <c r="AS620" i="1"/>
  <c r="AT620" i="1"/>
  <c r="AR621" i="1"/>
  <c r="AS621" i="1"/>
  <c r="AR622" i="1"/>
  <c r="AS622" i="1"/>
  <c r="AR623" i="1"/>
  <c r="AS623" i="1"/>
  <c r="AT623" i="1" s="1"/>
  <c r="AR624" i="1"/>
  <c r="AS624" i="1"/>
  <c r="AR625" i="1"/>
  <c r="AS625" i="1"/>
  <c r="AR626" i="1"/>
  <c r="AT626" i="1" s="1"/>
  <c r="AS626" i="1"/>
  <c r="AR627" i="1"/>
  <c r="AS627" i="1"/>
  <c r="AR628" i="1"/>
  <c r="AS628" i="1"/>
  <c r="AR629" i="1"/>
  <c r="AS629" i="1"/>
  <c r="AR630" i="1"/>
  <c r="AS630" i="1"/>
  <c r="AT630" i="1" s="1"/>
  <c r="AR631" i="1"/>
  <c r="AS631" i="1"/>
  <c r="AT631" i="1" s="1"/>
  <c r="AR632" i="1"/>
  <c r="AS632" i="1"/>
  <c r="AT632" i="1"/>
  <c r="AR633" i="1"/>
  <c r="AS633" i="1"/>
  <c r="AR634" i="1"/>
  <c r="AS634" i="1"/>
  <c r="AR635" i="1"/>
  <c r="AT635" i="1" s="1"/>
  <c r="AS635" i="1"/>
  <c r="AR636" i="1"/>
  <c r="AS636" i="1"/>
  <c r="AT636" i="1"/>
  <c r="AR637" i="1"/>
  <c r="AS637" i="1"/>
  <c r="AT637" i="1" s="1"/>
  <c r="AR638" i="1"/>
  <c r="AS638" i="1"/>
  <c r="AT638" i="1"/>
  <c r="AR639" i="1"/>
  <c r="AS639" i="1"/>
  <c r="AR640" i="1"/>
  <c r="AS640" i="1"/>
  <c r="AR641" i="1"/>
  <c r="AS641" i="1"/>
  <c r="AR642" i="1"/>
  <c r="AT642" i="1" s="1"/>
  <c r="AS642" i="1"/>
  <c r="AR643" i="1"/>
  <c r="AS643" i="1"/>
  <c r="AT643" i="1" s="1"/>
  <c r="AR644" i="1"/>
  <c r="AS644" i="1"/>
  <c r="AR645" i="1"/>
  <c r="AS645" i="1"/>
  <c r="AR646" i="1"/>
  <c r="AT646" i="1" s="1"/>
  <c r="AS646" i="1"/>
  <c r="AR647" i="1"/>
  <c r="AS647" i="1"/>
  <c r="AR648" i="1"/>
  <c r="AS648" i="1"/>
  <c r="AT648" i="1"/>
  <c r="AR649" i="1"/>
  <c r="AS649" i="1"/>
  <c r="AR650" i="1"/>
  <c r="AS650" i="1"/>
  <c r="AT650" i="1" s="1"/>
  <c r="AR651" i="1"/>
  <c r="AS651" i="1"/>
  <c r="AR652" i="1"/>
  <c r="AS652" i="1"/>
  <c r="AT652" i="1"/>
  <c r="AR653" i="1"/>
  <c r="AS653" i="1"/>
  <c r="AR654" i="1"/>
  <c r="AS654" i="1"/>
  <c r="AT654" i="1"/>
  <c r="AR655" i="1"/>
  <c r="AS655" i="1"/>
  <c r="AR656" i="1"/>
  <c r="AS656" i="1"/>
  <c r="AR657" i="1"/>
  <c r="AS657" i="1"/>
  <c r="AR658" i="1"/>
  <c r="AS658" i="1"/>
  <c r="AT658" i="1"/>
  <c r="AR659" i="1"/>
  <c r="AT659" i="1" s="1"/>
  <c r="AS659" i="1"/>
  <c r="AR660" i="1"/>
  <c r="AS660" i="1"/>
  <c r="AR661" i="1"/>
  <c r="AS661" i="1"/>
  <c r="AR662" i="1"/>
  <c r="AT662" i="1" s="1"/>
  <c r="AS662" i="1"/>
  <c r="AR663" i="1"/>
  <c r="AS663" i="1"/>
  <c r="AR664" i="1"/>
  <c r="AS664" i="1"/>
  <c r="AT664" i="1"/>
  <c r="AR665" i="1"/>
  <c r="AS665" i="1"/>
  <c r="AR666" i="1"/>
  <c r="AT666" i="1" s="1"/>
  <c r="AS666" i="1"/>
  <c r="AR667" i="1"/>
  <c r="AS667" i="1"/>
  <c r="AR668" i="1"/>
  <c r="AS668" i="1"/>
  <c r="AR669" i="1"/>
  <c r="AT669" i="1" s="1"/>
  <c r="AS669" i="1"/>
  <c r="AR670" i="1"/>
  <c r="AS670" i="1"/>
  <c r="AT670" i="1" s="1"/>
  <c r="AS574" i="1"/>
  <c r="AR574" i="1"/>
  <c r="AT574" i="1" s="1"/>
  <c r="AE574" i="1"/>
  <c r="AE575" i="1"/>
  <c r="AF575" i="1"/>
  <c r="AE576" i="1"/>
  <c r="AF576" i="1"/>
  <c r="AE577" i="1"/>
  <c r="AF577" i="1"/>
  <c r="AE578" i="1"/>
  <c r="AG578" i="1" s="1"/>
  <c r="AF578" i="1"/>
  <c r="AE579" i="1"/>
  <c r="AF579" i="1"/>
  <c r="AG579" i="1"/>
  <c r="AE580" i="1"/>
  <c r="AF580" i="1"/>
  <c r="AE581" i="1"/>
  <c r="AF581" i="1"/>
  <c r="AG581" i="1"/>
  <c r="AE582" i="1"/>
  <c r="AF582" i="1"/>
  <c r="AE583" i="1"/>
  <c r="AF583" i="1"/>
  <c r="AE584" i="1"/>
  <c r="AF584" i="1"/>
  <c r="AG584" i="1"/>
  <c r="AE585" i="1"/>
  <c r="AF585" i="1"/>
  <c r="AE586" i="1"/>
  <c r="AF586" i="1"/>
  <c r="AG586" i="1" s="1"/>
  <c r="AE587" i="1"/>
  <c r="AF587" i="1"/>
  <c r="AE588" i="1"/>
  <c r="AF588" i="1"/>
  <c r="AE589" i="1"/>
  <c r="AF589" i="1"/>
  <c r="AE590" i="1"/>
  <c r="AF590" i="1"/>
  <c r="AG590" i="1"/>
  <c r="AE591" i="1"/>
  <c r="AG591" i="1" s="1"/>
  <c r="AF591" i="1"/>
  <c r="AE592" i="1"/>
  <c r="AF592" i="1"/>
  <c r="AG592" i="1"/>
  <c r="AE593" i="1"/>
  <c r="AF593" i="1"/>
  <c r="AE594" i="1"/>
  <c r="AF594" i="1"/>
  <c r="AE595" i="1"/>
  <c r="AF595" i="1"/>
  <c r="AE596" i="1"/>
  <c r="AF596" i="1"/>
  <c r="AE597" i="1"/>
  <c r="AF597" i="1"/>
  <c r="AG597" i="1"/>
  <c r="AE598" i="1"/>
  <c r="AF598" i="1"/>
  <c r="AE599" i="1"/>
  <c r="AF599" i="1"/>
  <c r="AG599" i="1"/>
  <c r="AE600" i="1"/>
  <c r="AF600" i="1"/>
  <c r="AE601" i="1"/>
  <c r="AF601" i="1"/>
  <c r="AE602" i="1"/>
  <c r="AG602" i="1" s="1"/>
  <c r="AF602" i="1"/>
  <c r="AE603" i="1"/>
  <c r="AF603" i="1"/>
  <c r="AG603" i="1"/>
  <c r="AE604" i="1"/>
  <c r="AF604" i="1"/>
  <c r="AE605" i="1"/>
  <c r="AF605" i="1"/>
  <c r="AG605" i="1"/>
  <c r="AE606" i="1"/>
  <c r="AF606" i="1"/>
  <c r="AE607" i="1"/>
  <c r="AF607" i="1"/>
  <c r="AG607" i="1"/>
  <c r="AE608" i="1"/>
  <c r="AG608" i="1" s="1"/>
  <c r="AF608" i="1"/>
  <c r="AE609" i="1"/>
  <c r="AF609" i="1"/>
  <c r="AE610" i="1"/>
  <c r="AF610" i="1"/>
  <c r="AG610" i="1"/>
  <c r="AE611" i="1"/>
  <c r="AF611" i="1"/>
  <c r="AG611" i="1"/>
  <c r="AE612" i="1"/>
  <c r="AF612" i="1"/>
  <c r="AE613" i="1"/>
  <c r="AF613" i="1"/>
  <c r="AG613" i="1"/>
  <c r="AE614" i="1"/>
  <c r="AG614" i="1" s="1"/>
  <c r="AF614" i="1"/>
  <c r="AE615" i="1"/>
  <c r="AF615" i="1"/>
  <c r="AE616" i="1"/>
  <c r="AF616" i="1"/>
  <c r="AG616" i="1"/>
  <c r="AE617" i="1"/>
  <c r="AF617" i="1"/>
  <c r="AE618" i="1"/>
  <c r="AF618" i="1"/>
  <c r="AE619" i="1"/>
  <c r="AF619" i="1"/>
  <c r="AG619" i="1"/>
  <c r="AE620" i="1"/>
  <c r="AF620" i="1"/>
  <c r="AE621" i="1"/>
  <c r="AF621" i="1"/>
  <c r="AE622" i="1"/>
  <c r="AF622" i="1"/>
  <c r="AG622" i="1"/>
  <c r="AE623" i="1"/>
  <c r="AG623" i="1" s="1"/>
  <c r="AF623" i="1"/>
  <c r="AE624" i="1"/>
  <c r="AF624" i="1"/>
  <c r="AG624" i="1" s="1"/>
  <c r="AE625" i="1"/>
  <c r="AF625" i="1"/>
  <c r="AG625" i="1"/>
  <c r="AE626" i="1"/>
  <c r="AF626" i="1"/>
  <c r="AE627" i="1"/>
  <c r="AG627" i="1" s="1"/>
  <c r="AF627" i="1"/>
  <c r="AE628" i="1"/>
  <c r="AF628" i="1"/>
  <c r="AE629" i="1"/>
  <c r="AF629" i="1"/>
  <c r="AG629" i="1"/>
  <c r="AE630" i="1"/>
  <c r="AF630" i="1"/>
  <c r="AG630" i="1" s="1"/>
  <c r="AE631" i="1"/>
  <c r="AF631" i="1"/>
  <c r="AG631" i="1" s="1"/>
  <c r="AE632" i="1"/>
  <c r="AF632" i="1"/>
  <c r="AE633" i="1"/>
  <c r="AF633" i="1"/>
  <c r="AE634" i="1"/>
  <c r="AG634" i="1" s="1"/>
  <c r="AF634" i="1"/>
  <c r="AE635" i="1"/>
  <c r="AF635" i="1"/>
  <c r="AG635" i="1"/>
  <c r="AE636" i="1"/>
  <c r="AF636" i="1"/>
  <c r="AE637" i="1"/>
  <c r="AF637" i="1"/>
  <c r="AE638" i="1"/>
  <c r="AF638" i="1"/>
  <c r="AG638" i="1"/>
  <c r="AE639" i="1"/>
  <c r="AF639" i="1"/>
  <c r="AE640" i="1"/>
  <c r="AG640" i="1" s="1"/>
  <c r="AF640" i="1"/>
  <c r="AE641" i="1"/>
  <c r="AF641" i="1"/>
  <c r="AE642" i="1"/>
  <c r="AF642" i="1"/>
  <c r="AG642" i="1"/>
  <c r="AE643" i="1"/>
  <c r="AF643" i="1"/>
  <c r="AE644" i="1"/>
  <c r="AF644" i="1"/>
  <c r="AE645" i="1"/>
  <c r="AF645" i="1"/>
  <c r="AE646" i="1"/>
  <c r="AF646" i="1"/>
  <c r="AG646" i="1"/>
  <c r="AE647" i="1"/>
  <c r="AF647" i="1"/>
  <c r="AE648" i="1"/>
  <c r="AF648" i="1"/>
  <c r="AE649" i="1"/>
  <c r="AF649" i="1"/>
  <c r="AE650" i="1"/>
  <c r="AG650" i="1" s="1"/>
  <c r="AF650" i="1"/>
  <c r="AE651" i="1"/>
  <c r="AF651" i="1"/>
  <c r="AG651" i="1" s="1"/>
  <c r="AE652" i="1"/>
  <c r="AF652" i="1"/>
  <c r="AG652" i="1"/>
  <c r="AE653" i="1"/>
  <c r="AF653" i="1"/>
  <c r="AE654" i="1"/>
  <c r="AF654" i="1"/>
  <c r="AE655" i="1"/>
  <c r="AF655" i="1"/>
  <c r="AG655" i="1"/>
  <c r="AE656" i="1"/>
  <c r="AG656" i="1" s="1"/>
  <c r="AF656" i="1"/>
  <c r="AE657" i="1"/>
  <c r="AF657" i="1"/>
  <c r="AG657" i="1" s="1"/>
  <c r="AE658" i="1"/>
  <c r="AF658" i="1"/>
  <c r="AG658" i="1"/>
  <c r="AE659" i="1"/>
  <c r="AF659" i="1"/>
  <c r="AE660" i="1"/>
  <c r="AF660" i="1"/>
  <c r="AE661" i="1"/>
  <c r="AF661" i="1"/>
  <c r="AG661" i="1"/>
  <c r="AE662" i="1"/>
  <c r="AG662" i="1" s="1"/>
  <c r="AF662" i="1"/>
  <c r="AE663" i="1"/>
  <c r="AF663" i="1"/>
  <c r="AG663" i="1" s="1"/>
  <c r="AE664" i="1"/>
  <c r="AF664" i="1"/>
  <c r="AG664" i="1"/>
  <c r="AE665" i="1"/>
  <c r="AF665" i="1"/>
  <c r="AE666" i="1"/>
  <c r="AF666" i="1"/>
  <c r="AE667" i="1"/>
  <c r="AF667" i="1"/>
  <c r="AG667" i="1"/>
  <c r="AE668" i="1"/>
  <c r="AG668" i="1" s="1"/>
  <c r="AF668" i="1"/>
  <c r="AE669" i="1"/>
  <c r="AF669" i="1"/>
  <c r="AG669" i="1" s="1"/>
  <c r="AE670" i="1"/>
  <c r="AF670" i="1"/>
  <c r="AG670" i="1"/>
  <c r="AF574" i="1"/>
  <c r="AT641" i="1" l="1"/>
  <c r="AT647" i="1"/>
  <c r="AT653" i="1"/>
  <c r="AT614" i="1"/>
  <c r="AG575" i="1"/>
  <c r="AG574" i="1"/>
  <c r="AG645" i="1"/>
  <c r="AT582" i="1"/>
  <c r="AT621" i="1"/>
  <c r="AG595" i="1"/>
  <c r="AG620" i="1"/>
  <c r="AG639" i="1"/>
  <c r="AG636" i="1"/>
  <c r="AT655" i="1"/>
  <c r="AT588" i="1"/>
  <c r="AG588" i="1"/>
  <c r="AG594" i="1"/>
  <c r="AG600" i="1"/>
  <c r="AT593" i="1"/>
  <c r="AT587" i="1"/>
  <c r="AT581" i="1"/>
  <c r="AG606" i="1"/>
  <c r="AG618" i="1"/>
  <c r="AT619" i="1"/>
  <c r="AT599" i="1"/>
  <c r="AT625" i="1"/>
  <c r="AT605" i="1"/>
  <c r="AT618" i="1"/>
  <c r="AG648" i="1"/>
  <c r="AG666" i="1"/>
  <c r="AG654" i="1"/>
  <c r="AG641" i="1"/>
  <c r="AG647" i="1"/>
  <c r="AG665" i="1"/>
  <c r="AG659" i="1"/>
  <c r="AG653" i="1"/>
  <c r="AG577" i="1"/>
  <c r="AT668" i="1"/>
  <c r="AG583" i="1"/>
  <c r="AG576" i="1"/>
  <c r="AT667" i="1"/>
  <c r="AG589" i="1"/>
  <c r="AG582" i="1"/>
  <c r="AT592" i="1"/>
  <c r="AG604" i="1"/>
  <c r="AT622" i="1"/>
  <c r="AG609" i="1"/>
  <c r="AT651" i="1"/>
  <c r="AT663" i="1"/>
  <c r="AG649" i="1"/>
  <c r="AG637" i="1"/>
  <c r="AG593" i="1"/>
  <c r="AT604" i="1"/>
  <c r="AT610" i="1"/>
  <c r="AG598" i="1"/>
  <c r="AG621" i="1"/>
  <c r="AT627" i="1"/>
  <c r="AG632" i="1"/>
  <c r="AT639" i="1"/>
  <c r="AT645" i="1"/>
  <c r="AG587" i="1"/>
  <c r="AT598" i="1"/>
  <c r="AT616" i="1"/>
  <c r="AG615" i="1"/>
  <c r="AT634" i="1"/>
  <c r="AG626" i="1"/>
  <c r="AT657" i="1"/>
  <c r="AG643" i="1"/>
  <c r="AT575" i="1"/>
  <c r="AT656" i="1"/>
  <c r="AT633" i="1"/>
  <c r="AT597" i="1"/>
  <c r="AG612" i="1"/>
  <c r="AT612" i="1"/>
  <c r="AG644" i="1"/>
  <c r="AT640" i="1"/>
  <c r="AT617" i="1"/>
  <c r="AG580" i="1"/>
  <c r="AT661" i="1"/>
  <c r="AT585" i="1"/>
  <c r="AT649" i="1"/>
  <c r="AT608" i="1"/>
  <c r="AG585" i="1"/>
  <c r="AT660" i="1"/>
  <c r="AG601" i="1"/>
  <c r="AT665" i="1"/>
  <c r="AT624" i="1"/>
  <c r="AG617" i="1"/>
  <c r="AG633" i="1"/>
  <c r="AT629" i="1"/>
  <c r="AT576" i="1"/>
  <c r="AG660" i="1"/>
  <c r="AT628" i="1"/>
  <c r="AT580" i="1"/>
  <c r="AT644" i="1"/>
  <c r="AT596" i="1"/>
  <c r="AG596" i="1"/>
  <c r="AT613" i="1"/>
  <c r="AT601" i="1"/>
  <c r="AG628" i="1"/>
  <c r="CN22" i="1"/>
  <c r="CL8" i="1"/>
  <c r="CM8" i="1"/>
  <c r="CN8" i="1"/>
  <c r="CL9" i="1"/>
  <c r="CM9" i="1"/>
  <c r="CN9" i="1"/>
  <c r="CL10" i="1"/>
  <c r="CM10" i="1"/>
  <c r="CN10" i="1"/>
  <c r="CL11" i="1"/>
  <c r="CM11" i="1"/>
  <c r="CN11" i="1"/>
  <c r="CL12" i="1"/>
  <c r="CM12" i="1"/>
  <c r="CN12" i="1"/>
  <c r="CL13" i="1"/>
  <c r="CM13" i="1"/>
  <c r="CN13" i="1"/>
  <c r="CL14" i="1"/>
  <c r="CM14" i="1"/>
  <c r="CN14" i="1"/>
  <c r="CL15" i="1"/>
  <c r="CM15" i="1"/>
  <c r="CN15" i="1"/>
  <c r="CL16" i="1"/>
  <c r="CM16" i="1"/>
  <c r="CN16" i="1"/>
  <c r="CL17" i="1"/>
  <c r="CM17" i="1"/>
  <c r="CN17" i="1"/>
  <c r="CL18" i="1"/>
  <c r="CM18" i="1"/>
  <c r="CN18" i="1"/>
  <c r="CL19" i="1"/>
  <c r="CM19" i="1"/>
  <c r="CN19" i="1"/>
  <c r="CL20" i="1"/>
  <c r="CM20" i="1"/>
  <c r="CN20" i="1"/>
  <c r="CL21" i="1"/>
  <c r="CM21" i="1"/>
  <c r="CN21" i="1"/>
  <c r="CL22" i="1"/>
  <c r="CM22" i="1"/>
  <c r="CL23" i="1"/>
  <c r="CM23" i="1"/>
  <c r="CN23" i="1"/>
  <c r="CL24" i="1"/>
  <c r="CM24" i="1"/>
  <c r="CN24" i="1"/>
  <c r="CL25" i="1"/>
  <c r="CM25" i="1"/>
  <c r="CN25" i="1"/>
  <c r="CL26" i="1"/>
  <c r="CM26" i="1"/>
  <c r="CN26" i="1"/>
  <c r="CL27" i="1"/>
  <c r="CM27" i="1"/>
  <c r="CN27" i="1"/>
  <c r="CL28" i="1"/>
  <c r="CM28" i="1"/>
  <c r="CN28" i="1"/>
  <c r="CL29" i="1"/>
  <c r="CM29" i="1"/>
  <c r="CN29" i="1"/>
  <c r="CL30" i="1"/>
  <c r="CM30" i="1"/>
  <c r="CN30" i="1"/>
  <c r="CL31" i="1"/>
  <c r="CM31" i="1"/>
  <c r="CN31" i="1"/>
  <c r="CL32" i="1"/>
  <c r="CM32" i="1"/>
  <c r="CN32" i="1"/>
  <c r="CL33" i="1"/>
  <c r="CM33" i="1"/>
  <c r="CN33" i="1"/>
  <c r="CL34" i="1"/>
  <c r="CM34" i="1"/>
  <c r="CN34" i="1"/>
  <c r="CL35" i="1"/>
  <c r="CM35" i="1"/>
  <c r="CN35" i="1"/>
  <c r="CL36" i="1"/>
  <c r="CM36" i="1"/>
  <c r="CN36" i="1"/>
  <c r="CL37" i="1"/>
  <c r="CM37" i="1"/>
  <c r="CN37" i="1"/>
  <c r="CL38" i="1"/>
  <c r="CM38" i="1"/>
  <c r="CN38" i="1"/>
  <c r="CL39" i="1"/>
  <c r="CM39" i="1"/>
  <c r="CN39" i="1"/>
  <c r="CL40" i="1"/>
  <c r="CM40" i="1"/>
  <c r="CN40" i="1"/>
  <c r="CL41" i="1"/>
  <c r="CM41" i="1"/>
  <c r="CN41" i="1"/>
  <c r="CL42" i="1"/>
  <c r="CM42" i="1"/>
  <c r="CN42" i="1"/>
  <c r="CL43" i="1"/>
  <c r="CM43" i="1"/>
  <c r="CN43" i="1"/>
  <c r="CL44" i="1"/>
  <c r="CM44" i="1"/>
  <c r="CN44" i="1"/>
  <c r="CL45" i="1"/>
  <c r="CM45" i="1"/>
  <c r="CN45" i="1"/>
  <c r="CL46" i="1"/>
  <c r="CM46" i="1"/>
  <c r="CN46" i="1"/>
  <c r="CL47" i="1"/>
  <c r="CM47" i="1"/>
  <c r="CN47" i="1"/>
  <c r="CL48" i="1"/>
  <c r="CM48" i="1"/>
  <c r="CN48" i="1"/>
  <c r="CL49" i="1"/>
  <c r="CM49" i="1"/>
  <c r="CN49" i="1"/>
  <c r="CL50" i="1"/>
  <c r="CM50" i="1"/>
  <c r="CN50" i="1"/>
  <c r="CL51" i="1"/>
  <c r="CM51" i="1"/>
  <c r="CN51" i="1"/>
  <c r="CL52" i="1"/>
  <c r="CM52" i="1"/>
  <c r="CN52" i="1"/>
  <c r="CL53" i="1"/>
  <c r="CM53" i="1"/>
  <c r="CN53" i="1"/>
  <c r="CL54" i="1"/>
  <c r="CM54" i="1"/>
  <c r="CN54" i="1"/>
  <c r="CL55" i="1"/>
  <c r="CM55" i="1"/>
  <c r="CN55" i="1"/>
  <c r="CL56" i="1"/>
  <c r="CM56" i="1"/>
  <c r="CN56" i="1"/>
  <c r="CL57" i="1"/>
  <c r="CM57" i="1"/>
  <c r="CN57" i="1"/>
  <c r="CL58" i="1"/>
  <c r="CM58" i="1"/>
  <c r="CN58" i="1"/>
  <c r="CL59" i="1"/>
  <c r="CM59" i="1"/>
  <c r="CN59" i="1"/>
  <c r="CL60" i="1"/>
  <c r="CM60" i="1"/>
  <c r="CN60" i="1"/>
  <c r="CL61" i="1"/>
  <c r="CM61" i="1"/>
  <c r="CN61" i="1"/>
  <c r="CL62" i="1"/>
  <c r="CM62" i="1"/>
  <c r="CN62" i="1"/>
  <c r="CL63" i="1"/>
  <c r="CM63" i="1"/>
  <c r="CN63" i="1"/>
  <c r="CL64" i="1"/>
  <c r="CM64" i="1"/>
  <c r="CN64" i="1"/>
  <c r="CL65" i="1"/>
  <c r="CM65" i="1"/>
  <c r="CN65" i="1"/>
  <c r="CL66" i="1"/>
  <c r="CM66" i="1"/>
  <c r="CN66" i="1"/>
  <c r="CL67" i="1"/>
  <c r="CM67" i="1"/>
  <c r="CN67" i="1"/>
  <c r="CL68" i="1"/>
  <c r="CM68" i="1"/>
  <c r="CN68" i="1"/>
  <c r="CL69" i="1"/>
  <c r="CM69" i="1"/>
  <c r="CN69" i="1"/>
  <c r="CL70" i="1"/>
  <c r="CM70" i="1"/>
  <c r="CN70" i="1"/>
  <c r="CL71" i="1"/>
  <c r="CM71" i="1"/>
  <c r="CN71" i="1"/>
  <c r="CL72" i="1"/>
  <c r="CM72" i="1"/>
  <c r="CN72" i="1"/>
  <c r="CL73" i="1"/>
  <c r="CM73" i="1"/>
  <c r="CN73" i="1"/>
  <c r="CL74" i="1"/>
  <c r="CM74" i="1"/>
  <c r="CN74" i="1"/>
  <c r="CL75" i="1"/>
  <c r="CM75" i="1"/>
  <c r="CN75" i="1"/>
  <c r="CL76" i="1"/>
  <c r="CM76" i="1"/>
  <c r="CN76" i="1"/>
  <c r="CL77" i="1"/>
  <c r="CM77" i="1"/>
  <c r="CN77" i="1"/>
  <c r="CL78" i="1"/>
  <c r="CM78" i="1"/>
  <c r="CN78" i="1"/>
  <c r="CL79" i="1"/>
  <c r="CM79" i="1"/>
  <c r="CN79" i="1"/>
  <c r="CL80" i="1"/>
  <c r="CM80" i="1"/>
  <c r="CN80" i="1"/>
  <c r="CL81" i="1"/>
  <c r="CM81" i="1"/>
  <c r="CN81" i="1"/>
  <c r="CL82" i="1"/>
  <c r="CM82" i="1"/>
  <c r="CN82" i="1"/>
  <c r="CL83" i="1"/>
  <c r="CM83" i="1"/>
  <c r="CN83" i="1"/>
  <c r="CL84" i="1"/>
  <c r="CM84" i="1"/>
  <c r="CN84" i="1"/>
  <c r="CL85" i="1"/>
  <c r="CM85" i="1"/>
  <c r="CN85" i="1"/>
  <c r="CL86" i="1"/>
  <c r="CM86" i="1"/>
  <c r="CN86" i="1"/>
  <c r="CL87" i="1"/>
  <c r="CM87" i="1"/>
  <c r="CN87" i="1"/>
  <c r="CL88" i="1"/>
  <c r="CM88" i="1"/>
  <c r="CN88" i="1"/>
  <c r="CL89" i="1"/>
  <c r="CM89" i="1"/>
  <c r="CN89" i="1"/>
  <c r="CL90" i="1"/>
  <c r="CM90" i="1"/>
  <c r="CN90" i="1"/>
  <c r="CL91" i="1"/>
  <c r="CM91" i="1"/>
  <c r="CN91" i="1"/>
  <c r="CL92" i="1"/>
  <c r="CM92" i="1"/>
  <c r="CN92" i="1"/>
  <c r="CL93" i="1"/>
  <c r="CM93" i="1"/>
  <c r="CN93" i="1"/>
  <c r="CL94" i="1"/>
  <c r="CM94" i="1"/>
  <c r="CN94" i="1"/>
  <c r="CL95" i="1"/>
  <c r="CM95" i="1"/>
  <c r="CN95" i="1"/>
  <c r="CL96" i="1"/>
  <c r="CM96" i="1"/>
  <c r="CN96" i="1"/>
  <c r="CL97" i="1"/>
  <c r="CM97" i="1"/>
  <c r="CN97" i="1"/>
  <c r="CL98" i="1"/>
  <c r="CM98" i="1"/>
  <c r="CN98" i="1"/>
  <c r="CL99" i="1"/>
  <c r="CM99" i="1"/>
  <c r="CN99" i="1"/>
  <c r="CL100" i="1"/>
  <c r="CM100" i="1"/>
  <c r="CN100" i="1"/>
  <c r="CL101" i="1"/>
  <c r="CM101" i="1"/>
  <c r="CN101" i="1"/>
  <c r="CL102" i="1"/>
  <c r="CM102" i="1"/>
  <c r="CN102" i="1"/>
  <c r="CL103" i="1"/>
  <c r="CM103" i="1"/>
  <c r="CN103" i="1"/>
  <c r="CL104" i="1"/>
  <c r="CM104" i="1"/>
  <c r="CN104" i="1"/>
  <c r="CL105" i="1"/>
  <c r="CM105" i="1"/>
  <c r="CN105" i="1"/>
  <c r="CL106" i="1"/>
  <c r="CM106" i="1"/>
  <c r="CN106" i="1"/>
  <c r="CL107" i="1"/>
  <c r="CM107" i="1"/>
  <c r="CN107" i="1"/>
  <c r="CL108" i="1"/>
  <c r="CM108" i="1"/>
  <c r="CN108" i="1"/>
  <c r="CL109" i="1"/>
  <c r="CM109" i="1"/>
  <c r="CN109" i="1"/>
  <c r="CL110" i="1"/>
  <c r="CM110" i="1"/>
  <c r="CN110" i="1"/>
  <c r="CL111" i="1"/>
  <c r="CM111" i="1"/>
  <c r="CN111" i="1"/>
  <c r="CL112" i="1"/>
  <c r="CM112" i="1"/>
  <c r="CN112" i="1"/>
  <c r="CL113" i="1"/>
  <c r="CM113" i="1"/>
  <c r="CN113" i="1"/>
  <c r="CL114" i="1"/>
  <c r="CM114" i="1"/>
  <c r="CN114" i="1"/>
  <c r="CL115" i="1"/>
  <c r="CM115" i="1"/>
  <c r="CN115" i="1"/>
  <c r="CL116" i="1"/>
  <c r="CM116" i="1"/>
  <c r="CN116" i="1"/>
  <c r="CL117" i="1"/>
  <c r="CM117" i="1"/>
  <c r="CN117" i="1"/>
  <c r="CL118" i="1"/>
  <c r="CM118" i="1"/>
  <c r="CN118" i="1"/>
  <c r="CL119" i="1"/>
  <c r="CM119" i="1"/>
  <c r="CN119" i="1"/>
  <c r="CL120" i="1"/>
  <c r="CM120" i="1"/>
  <c r="CN120" i="1"/>
  <c r="CL121" i="1"/>
  <c r="CM121" i="1"/>
  <c r="CN121" i="1"/>
  <c r="CL122" i="1"/>
  <c r="CM122" i="1"/>
  <c r="CN122" i="1"/>
  <c r="CL123" i="1"/>
  <c r="CM123" i="1"/>
  <c r="CN123" i="1"/>
  <c r="CL124" i="1"/>
  <c r="CM124" i="1"/>
  <c r="CN124" i="1"/>
  <c r="CL125" i="1"/>
  <c r="CM125" i="1"/>
  <c r="CN125" i="1"/>
  <c r="CL126" i="1"/>
  <c r="CM126" i="1"/>
  <c r="CN126" i="1"/>
  <c r="CL127" i="1"/>
  <c r="CM127" i="1"/>
  <c r="CN127" i="1"/>
  <c r="CL128" i="1"/>
  <c r="CM128" i="1"/>
  <c r="CN128" i="1"/>
  <c r="CL129" i="1"/>
  <c r="CM129" i="1"/>
  <c r="CN129" i="1"/>
  <c r="CL130" i="1"/>
  <c r="CM130" i="1"/>
  <c r="CN130" i="1"/>
  <c r="CL131" i="1"/>
  <c r="CM131" i="1"/>
  <c r="CN131" i="1"/>
  <c r="CL132" i="1"/>
  <c r="CM132" i="1"/>
  <c r="CN132" i="1"/>
  <c r="CL133" i="1"/>
  <c r="CM133" i="1"/>
  <c r="CN133" i="1"/>
  <c r="CL134" i="1"/>
  <c r="CM134" i="1"/>
  <c r="CN134" i="1"/>
  <c r="CL135" i="1"/>
  <c r="CM135" i="1"/>
  <c r="CN135" i="1"/>
  <c r="CL136" i="1"/>
  <c r="CM136" i="1"/>
  <c r="CN136" i="1"/>
  <c r="CL137" i="1"/>
  <c r="CM137" i="1"/>
  <c r="CN137" i="1"/>
  <c r="CL138" i="1"/>
  <c r="CM138" i="1"/>
  <c r="CN138" i="1"/>
  <c r="CL139" i="1"/>
  <c r="CM139" i="1"/>
  <c r="CN139" i="1"/>
  <c r="CL140" i="1"/>
  <c r="CM140" i="1"/>
  <c r="CN140" i="1"/>
  <c r="CL141" i="1"/>
  <c r="CM141" i="1"/>
  <c r="CN141" i="1"/>
  <c r="CL142" i="1"/>
  <c r="CM142" i="1"/>
  <c r="CN142" i="1"/>
  <c r="CL143" i="1"/>
  <c r="CM143" i="1"/>
  <c r="CN143" i="1"/>
  <c r="CL144" i="1"/>
  <c r="CM144" i="1"/>
  <c r="CN144" i="1"/>
  <c r="CL145" i="1"/>
  <c r="CM145" i="1"/>
  <c r="CN145" i="1"/>
  <c r="CL146" i="1"/>
  <c r="CM146" i="1"/>
  <c r="CN146" i="1"/>
  <c r="CL147" i="1"/>
  <c r="CM147" i="1"/>
  <c r="CN147" i="1"/>
  <c r="CL148" i="1"/>
  <c r="CM148" i="1"/>
  <c r="CN148" i="1"/>
  <c r="CL149" i="1"/>
  <c r="CM149" i="1"/>
  <c r="CN149" i="1"/>
  <c r="CL150" i="1"/>
  <c r="CM150" i="1"/>
  <c r="CN150" i="1"/>
  <c r="CL151" i="1"/>
  <c r="CM151" i="1"/>
  <c r="CN151" i="1"/>
  <c r="CL152" i="1"/>
  <c r="CM152" i="1"/>
  <c r="CN152" i="1"/>
  <c r="CL153" i="1"/>
  <c r="CM153" i="1"/>
  <c r="CN153" i="1"/>
  <c r="CL154" i="1"/>
  <c r="CM154" i="1"/>
  <c r="CN154" i="1"/>
  <c r="CL155" i="1"/>
  <c r="CM155" i="1"/>
  <c r="CN155" i="1"/>
  <c r="CL156" i="1"/>
  <c r="CM156" i="1"/>
  <c r="CN156" i="1"/>
  <c r="CL157" i="1"/>
  <c r="CM157" i="1"/>
  <c r="CN157" i="1"/>
  <c r="CL158" i="1"/>
  <c r="CM158" i="1"/>
  <c r="CN158" i="1"/>
  <c r="CL159" i="1"/>
  <c r="CM159" i="1"/>
  <c r="CN159" i="1"/>
  <c r="CL160" i="1"/>
  <c r="CM160" i="1"/>
  <c r="CN160" i="1"/>
  <c r="CL161" i="1"/>
  <c r="CM161" i="1"/>
  <c r="CN161" i="1"/>
  <c r="CL162" i="1"/>
  <c r="CM162" i="1"/>
  <c r="CN162" i="1"/>
  <c r="CL163" i="1"/>
  <c r="CM163" i="1"/>
  <c r="CN163" i="1"/>
  <c r="CL164" i="1"/>
  <c r="CM164" i="1"/>
  <c r="CN164" i="1"/>
  <c r="CL165" i="1"/>
  <c r="CM165" i="1"/>
  <c r="CN165" i="1"/>
  <c r="CL166" i="1"/>
  <c r="CM166" i="1"/>
  <c r="CN166" i="1"/>
  <c r="CL167" i="1"/>
  <c r="CM167" i="1"/>
  <c r="CN167" i="1"/>
  <c r="CL168" i="1"/>
  <c r="CM168" i="1"/>
  <c r="CN168" i="1"/>
  <c r="CL169" i="1"/>
  <c r="CM169" i="1"/>
  <c r="CN169" i="1"/>
  <c r="CL170" i="1"/>
  <c r="CM170" i="1"/>
  <c r="CN170" i="1"/>
  <c r="CL171" i="1"/>
  <c r="CM171" i="1"/>
  <c r="CN171" i="1"/>
  <c r="CL172" i="1"/>
  <c r="CM172" i="1"/>
  <c r="CN172" i="1"/>
  <c r="CL173" i="1"/>
  <c r="CM173" i="1"/>
  <c r="CN173" i="1"/>
  <c r="CL174" i="1"/>
  <c r="CM174" i="1"/>
  <c r="CN174" i="1"/>
  <c r="CL175" i="1"/>
  <c r="CM175" i="1"/>
  <c r="CN175" i="1"/>
  <c r="CL176" i="1"/>
  <c r="CM176" i="1"/>
  <c r="CN176" i="1"/>
  <c r="CL177" i="1"/>
  <c r="CM177" i="1"/>
  <c r="CN177" i="1"/>
  <c r="CL178" i="1"/>
  <c r="CM178" i="1"/>
  <c r="CN178" i="1"/>
  <c r="CL179" i="1"/>
  <c r="CM179" i="1"/>
  <c r="CN179" i="1"/>
  <c r="CL180" i="1"/>
  <c r="CM180" i="1"/>
  <c r="CN180" i="1"/>
  <c r="CL181" i="1"/>
  <c r="CM181" i="1"/>
  <c r="CN181" i="1"/>
  <c r="CL182" i="1"/>
  <c r="CM182" i="1"/>
  <c r="CN182" i="1"/>
  <c r="CL183" i="1"/>
  <c r="CM183" i="1"/>
  <c r="CN183" i="1"/>
  <c r="CL184" i="1"/>
  <c r="CM184" i="1"/>
  <c r="CN184" i="1"/>
  <c r="CL185" i="1"/>
  <c r="CM185" i="1"/>
  <c r="CN185" i="1"/>
  <c r="CL186" i="1"/>
  <c r="CM186" i="1"/>
  <c r="CN186" i="1"/>
  <c r="CL187" i="1"/>
  <c r="CM187" i="1"/>
  <c r="CN187" i="1"/>
  <c r="CL188" i="1"/>
  <c r="CM188" i="1"/>
  <c r="CN188" i="1"/>
  <c r="CL189" i="1"/>
  <c r="CM189" i="1"/>
  <c r="CN189" i="1"/>
  <c r="CL190" i="1"/>
  <c r="CM190" i="1"/>
  <c r="CN190" i="1"/>
  <c r="CL191" i="1"/>
  <c r="CM191" i="1"/>
  <c r="CN191" i="1"/>
  <c r="CL192" i="1"/>
  <c r="CM192" i="1"/>
  <c r="CN192" i="1"/>
  <c r="CL193" i="1"/>
  <c r="CM193" i="1"/>
  <c r="CN193" i="1"/>
  <c r="CL194" i="1"/>
  <c r="CM194" i="1"/>
  <c r="CN194" i="1"/>
  <c r="CL195" i="1"/>
  <c r="CM195" i="1"/>
  <c r="CN195" i="1"/>
  <c r="CL196" i="1"/>
  <c r="CM196" i="1"/>
  <c r="CN196" i="1"/>
  <c r="CL197" i="1"/>
  <c r="CM197" i="1"/>
  <c r="CN197" i="1"/>
  <c r="CL198" i="1"/>
  <c r="CM198" i="1"/>
  <c r="CN198" i="1"/>
  <c r="CL199" i="1"/>
  <c r="CM199" i="1"/>
  <c r="CN199" i="1"/>
  <c r="CL200" i="1"/>
  <c r="CM200" i="1"/>
  <c r="CN200" i="1"/>
  <c r="CL201" i="1"/>
  <c r="CM201" i="1"/>
  <c r="CN201" i="1"/>
  <c r="CL202" i="1"/>
  <c r="CM202" i="1"/>
  <c r="CN202" i="1"/>
  <c r="CL203" i="1"/>
  <c r="CM203" i="1"/>
  <c r="CN203" i="1"/>
  <c r="CL204" i="1"/>
  <c r="CM204" i="1"/>
  <c r="CN204" i="1"/>
  <c r="CL205" i="1"/>
  <c r="CM205" i="1"/>
  <c r="CN205" i="1"/>
  <c r="CL206" i="1"/>
  <c r="CM206" i="1"/>
  <c r="CN206" i="1"/>
  <c r="CL207" i="1"/>
  <c r="CM207" i="1"/>
  <c r="CN207" i="1"/>
  <c r="CL208" i="1"/>
  <c r="CM208" i="1"/>
  <c r="CN208" i="1"/>
  <c r="CL209" i="1"/>
  <c r="CM209" i="1"/>
  <c r="CN209" i="1"/>
  <c r="CL210" i="1"/>
  <c r="CM210" i="1"/>
  <c r="CN210" i="1"/>
  <c r="CL211" i="1"/>
  <c r="CM211" i="1"/>
  <c r="CN211" i="1"/>
  <c r="CL212" i="1"/>
  <c r="CM212" i="1"/>
  <c r="CN212" i="1"/>
  <c r="CL213" i="1"/>
  <c r="CM213" i="1"/>
  <c r="CN213" i="1"/>
  <c r="CL214" i="1"/>
  <c r="CM214" i="1"/>
  <c r="CN214" i="1"/>
  <c r="CL215" i="1"/>
  <c r="CM215" i="1"/>
  <c r="CN215" i="1"/>
  <c r="CL216" i="1"/>
  <c r="CM216" i="1"/>
  <c r="CN216" i="1"/>
  <c r="CL217" i="1"/>
  <c r="CM217" i="1"/>
  <c r="CN217" i="1"/>
  <c r="CL218" i="1"/>
  <c r="CM218" i="1"/>
  <c r="CN218" i="1"/>
  <c r="CL219" i="1"/>
  <c r="CM219" i="1"/>
  <c r="CN219" i="1"/>
  <c r="CL220" i="1"/>
  <c r="CM220" i="1"/>
  <c r="CN220" i="1"/>
  <c r="CL221" i="1"/>
  <c r="CM221" i="1"/>
  <c r="CN221" i="1"/>
  <c r="CL222" i="1"/>
  <c r="CM222" i="1"/>
  <c r="CN222" i="1"/>
  <c r="CL223" i="1"/>
  <c r="CM223" i="1"/>
  <c r="CN223" i="1"/>
  <c r="CL224" i="1"/>
  <c r="CM224" i="1"/>
  <c r="CN224" i="1"/>
  <c r="CL225" i="1"/>
  <c r="CM225" i="1"/>
  <c r="CN225" i="1"/>
  <c r="CL226" i="1"/>
  <c r="CM226" i="1"/>
  <c r="CN226" i="1"/>
  <c r="CL227" i="1"/>
  <c r="CM227" i="1"/>
  <c r="CN227" i="1"/>
  <c r="CL228" i="1"/>
  <c r="CM228" i="1"/>
  <c r="CN228" i="1"/>
  <c r="CL229" i="1"/>
  <c r="CM229" i="1"/>
  <c r="CN229" i="1"/>
  <c r="CL230" i="1"/>
  <c r="CM230" i="1"/>
  <c r="CN230" i="1"/>
  <c r="CL231" i="1"/>
  <c r="CM231" i="1"/>
  <c r="CN231" i="1"/>
  <c r="CL232" i="1"/>
  <c r="CM232" i="1"/>
  <c r="CN232" i="1"/>
  <c r="CL233" i="1"/>
  <c r="CM233" i="1"/>
  <c r="CN233" i="1"/>
  <c r="CL234" i="1"/>
  <c r="CM234" i="1"/>
  <c r="CN234" i="1"/>
  <c r="CL235" i="1"/>
  <c r="CM235" i="1"/>
  <c r="CN235" i="1"/>
  <c r="CL236" i="1"/>
  <c r="CM236" i="1"/>
  <c r="CN236" i="1"/>
  <c r="CL237" i="1"/>
  <c r="CM237" i="1"/>
  <c r="CN237" i="1"/>
  <c r="CL238" i="1"/>
  <c r="CM238" i="1"/>
  <c r="CN238" i="1"/>
  <c r="CM7" i="1"/>
  <c r="CN7" i="1"/>
  <c r="CL7" i="1"/>
</calcChain>
</file>

<file path=xl/sharedStrings.xml><?xml version="1.0" encoding="utf-8"?>
<sst xmlns="http://schemas.openxmlformats.org/spreadsheetml/2006/main" count="8108" uniqueCount="531">
  <si>
    <t>SY 2020-2021</t>
  </si>
  <si>
    <t>Number of 4Ps-Recepients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</si>
  <si>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</si>
  <si>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</si>
  <si>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</si>
  <si>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</si>
  <si>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</si>
  <si>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</si>
  <si>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</si>
  <si>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</si>
  <si>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ES Total</t>
  </si>
  <si>
    <t>Grade 7</t>
  </si>
  <si>
    <t>Grade 8</t>
  </si>
  <si>
    <t>Grade 9</t>
  </si>
  <si>
    <t>Grade 10</t>
  </si>
  <si>
    <t>Non-Graded JHS</t>
  </si>
  <si>
    <t>JHS Total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</si>
  <si>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</si>
  <si>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</si>
  <si>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</si>
  <si>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</si>
  <si>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</si>
  <si>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</si>
  <si>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</si>
  <si>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</si>
  <si>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</si>
  <si>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</si>
  <si>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</si>
  <si>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</si>
  <si>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</si>
  <si>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</si>
  <si>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</si>
  <si>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</si>
  <si>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SHS Total</t>
  </si>
  <si>
    <t>Male</t>
  </si>
  <si>
    <t>Female</t>
  </si>
  <si>
    <t>Total</t>
  </si>
  <si>
    <t>Division</t>
  </si>
  <si>
    <t>District</t>
  </si>
  <si>
    <t>BEIS School ID</t>
  </si>
  <si>
    <t>School Name</t>
  </si>
  <si>
    <t>Street Address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</si>
  <si>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</si>
  <si>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</si>
  <si>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</si>
  <si>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</si>
  <si>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</si>
  <si>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</si>
  <si>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</si>
  <si>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Curricural Offering Classification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</si>
  <si>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</si>
  <si>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</si>
  <si>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</si>
  <si>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</si>
  <si>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</si>
  <si>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</si>
  <si>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</si>
  <si>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</si>
  <si>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</si>
  <si>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</si>
  <si>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</si>
  <si>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</si>
  <si>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</si>
  <si>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</si>
  <si>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</si>
  <si>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</si>
  <si>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</si>
  <si>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</si>
  <si>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</si>
  <si>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</si>
  <si>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</si>
  <si>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</si>
  <si>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</si>
  <si>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</si>
  <si>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</si>
  <si>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</si>
  <si>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</si>
  <si>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</si>
  <si>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</si>
  <si>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</si>
  <si>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</si>
  <si>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</si>
  <si>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</si>
  <si>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</si>
  <si>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</si>
  <si>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</si>
  <si>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</si>
  <si>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</si>
  <si>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</si>
  <si>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</si>
  <si>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</si>
  <si>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</si>
  <si>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</si>
  <si>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</si>
  <si>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</si>
  <si>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</si>
  <si>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</si>
  <si>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</si>
  <si>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</si>
  <si>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</si>
  <si>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</si>
  <si>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</si>
  <si>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</si>
  <si>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</si>
  <si>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</si>
  <si>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</si>
  <si>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</si>
  <si>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</si>
  <si>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Quezon City</t>
  </si>
  <si>
    <t>School District I</t>
  </si>
  <si>
    <t>Sta. Lucia Senior High School</t>
  </si>
  <si>
    <t>A. Mabini Street, Novaliches</t>
  </si>
  <si>
    <t>5th District</t>
  </si>
  <si>
    <t>SANTA LUCIA</t>
  </si>
  <si>
    <t>Public</t>
  </si>
  <si>
    <t>DepED Managed</t>
  </si>
  <si>
    <t>School with no Annexes</t>
  </si>
  <si>
    <t>Grade 7-10 &amp; Grade 11-12</t>
  </si>
  <si>
    <t>No</t>
  </si>
  <si>
    <t>JHS with SHS</t>
  </si>
  <si>
    <t>Bestlink College of the Philippines</t>
  </si>
  <si>
    <t>762 Topaz corner Sapphire Street, Millionares Village, San Agustin</t>
  </si>
  <si>
    <t>KALIGAYAHAN</t>
  </si>
  <si>
    <t>Private</t>
  </si>
  <si>
    <t xml:space="preserve">Non-Sectarian </t>
  </si>
  <si>
    <t>Grade 11-12</t>
  </si>
  <si>
    <t>Purely SHS</t>
  </si>
  <si>
    <t>National Polytechnic College of Science and Technology-Lagro</t>
  </si>
  <si>
    <t>Blk. 125, Lot 22, Quirino Highway, Lagro, Quezon City</t>
  </si>
  <si>
    <t>GREATER LAGRO</t>
  </si>
  <si>
    <t xml:space="preserve">Sectarian </t>
  </si>
  <si>
    <t>National Polytechnic College of Science and Technology-Novaliches</t>
  </si>
  <si>
    <t>Blk 4 Lot 7 Palm Street, Greenfields 1 Subd., Novaliches, Quezon City</t>
  </si>
  <si>
    <t>GULOD</t>
  </si>
  <si>
    <t>Electron College of Technical Education Corporation</t>
  </si>
  <si>
    <t>CPE Building, Commonwealth Avenue,</t>
  </si>
  <si>
    <t>FAIRVIEW</t>
  </si>
  <si>
    <t>661 Electron Building, Quirino Highway, Novaliches</t>
  </si>
  <si>
    <t>BAGBAG</t>
  </si>
  <si>
    <t>NU Fairview Incorporated</t>
  </si>
  <si>
    <t>SM Fairview Complex,Quiirino Highway corner Regalado</t>
  </si>
  <si>
    <t>School District V</t>
  </si>
  <si>
    <t>AccessComputer and Technical Colleges (Novaliches, Q.C.) Inc.</t>
  </si>
  <si>
    <t>1151 Quirino Hway corner Zabarte Road</t>
  </si>
  <si>
    <t>School District VIII</t>
  </si>
  <si>
    <t>San Bartolome HS</t>
  </si>
  <si>
    <t>67 Sinforosa Street, Novaliches</t>
  </si>
  <si>
    <t>SAN BARTOLOME</t>
  </si>
  <si>
    <t>Colegio de San Bartolome de Novaliches, Inc.</t>
  </si>
  <si>
    <t>Quirino Highway corner P. Dela Cruz Street, Novaliches</t>
  </si>
  <si>
    <t>Kinder, Grade 1-6, Grade 7-10 &amp; Grade 11-12</t>
  </si>
  <si>
    <t>All Offering (K to 12)</t>
  </si>
  <si>
    <t>Super Child Academy</t>
  </si>
  <si>
    <t>659 Quirino</t>
  </si>
  <si>
    <t>AIM School for Excellence Inc.</t>
  </si>
  <si>
    <t>Block 5 Lot 40 St. James Street, San Pedro Subdivision 7</t>
  </si>
  <si>
    <t>Kinder, Grade 1-6, Grade 7-10</t>
  </si>
  <si>
    <t>ES and JHS (K to 10)</t>
  </si>
  <si>
    <t>SBMS ACADEMY, INCORPORATED</t>
  </si>
  <si>
    <t>168 Dela Cruz St.</t>
  </si>
  <si>
    <t>Angelique Devine Grace School of Quezon City, Inc.</t>
  </si>
  <si>
    <t>38 Sta. Veronica Street, Novaliches</t>
  </si>
  <si>
    <t>Kinder &amp; Grade 1-6</t>
  </si>
  <si>
    <t>Purely ES</t>
  </si>
  <si>
    <t>Saint Nicholas of Bari School</t>
  </si>
  <si>
    <t>Franco Comp.Holy Cross Road San Bartolome</t>
  </si>
  <si>
    <t>School District IX</t>
  </si>
  <si>
    <t>Novaliches HS</t>
  </si>
  <si>
    <t>Lakandula</t>
  </si>
  <si>
    <t>SAN AGUSTIN</t>
  </si>
  <si>
    <t>Sta. Lucia HS</t>
  </si>
  <si>
    <t>J.P. Rizal Street, Novaliches</t>
  </si>
  <si>
    <t>Dona Rosario HS</t>
  </si>
  <si>
    <t>P. Urduja Street</t>
  </si>
  <si>
    <t>NOVALICHES PROPER</t>
  </si>
  <si>
    <t>Sto. Nino de Novaliches School</t>
  </si>
  <si>
    <t>Buenamar Street</t>
  </si>
  <si>
    <t>St. Patrick School of Novaliches, Inc.</t>
  </si>
  <si>
    <t>#16 Jewel St. Forest Hills Subd.</t>
  </si>
  <si>
    <t>Bloomridge Integrated School</t>
  </si>
  <si>
    <t>248 Gen. Luis Street</t>
  </si>
  <si>
    <t>School District X</t>
  </si>
  <si>
    <t>Lagro HS</t>
  </si>
  <si>
    <t>Misa de Gallo St. cor. Ascension Ave., Brgy. Greater Lagro,</t>
  </si>
  <si>
    <t>Maligaya HS</t>
  </si>
  <si>
    <t>Ilang-Ilang Street</t>
  </si>
  <si>
    <t>PASONG PUTIK PROPER (PASONG PUTIK)</t>
  </si>
  <si>
    <t>Grade 7-10</t>
  </si>
  <si>
    <t>Purely JHS</t>
  </si>
  <si>
    <t>North Fairview HS</t>
  </si>
  <si>
    <t>Auburn North Fairview</t>
  </si>
  <si>
    <t>NORTH FAIRVIEW</t>
  </si>
  <si>
    <t>AMA Computer College-Farview</t>
  </si>
  <si>
    <t>Blk 61, Lot 28-31, Bristol St. Cor. Regalado Ave., Brgy. North Fairview, Q.C.</t>
  </si>
  <si>
    <t>Divine Grace School</t>
  </si>
  <si>
    <t>Ilang-ilang Street</t>
  </si>
  <si>
    <t>Our Lady of Fatima University</t>
  </si>
  <si>
    <t>Hilltop Mansion, Lagro, Quezon City</t>
  </si>
  <si>
    <t>School of St. Anthony</t>
  </si>
  <si>
    <t>Lagro QC</t>
  </si>
  <si>
    <t>St. Kevin School</t>
  </si>
  <si>
    <t>92 Susano Rd. San Agustin Quezon City</t>
  </si>
  <si>
    <t>St. Vincent de Paul Academy of Novaliches, Inc.</t>
  </si>
  <si>
    <t>Atrium St., Maligaya Park Subd., Pasong Putik, Nova., QC</t>
  </si>
  <si>
    <t>Covenant of Grace School</t>
  </si>
  <si>
    <t>#6 Pearl St. East Fairview</t>
  </si>
  <si>
    <t>Jbest School of Technology and Practical Skills - Lagro, Inc.</t>
  </si>
  <si>
    <t>4th Floor Lester Bldg. Km. 22 Quirino Highway, Lagro</t>
  </si>
  <si>
    <t>The Steppingstone Progressivist School Inc.</t>
  </si>
  <si>
    <t>25 Cavalier Street, East Fairview</t>
  </si>
  <si>
    <t>St. Mary's School of Novaliches, Inc.</t>
  </si>
  <si>
    <t>Olympus Drive, North Olympus Subdivision</t>
  </si>
  <si>
    <t>Another Home to Grow Learning Center</t>
  </si>
  <si>
    <t>#24 Adrian</t>
  </si>
  <si>
    <t>Kinder</t>
  </si>
  <si>
    <t>St. Mariam Thresia School</t>
  </si>
  <si>
    <t>135 Gen. Luis St., Nagkaisang Nayon, Q,C,</t>
  </si>
  <si>
    <t>NAGKAISANG NAYON</t>
  </si>
  <si>
    <t>Virgen de Guadalupe de Novaliches</t>
  </si>
  <si>
    <t>41 Sampaguita</t>
  </si>
  <si>
    <t>School of St. Maximilian Mary Kolbe, Inc.</t>
  </si>
  <si>
    <t>Block 9 Lot 10 Atrium Street, Maligaya Park Subdivision</t>
  </si>
  <si>
    <t>Beulah Land Christian School of Quezon City, Inc.</t>
  </si>
  <si>
    <t>Mary town Circle</t>
  </si>
  <si>
    <t>St. Joseph School of Fairview, Inc.</t>
  </si>
  <si>
    <t>Atherton</t>
  </si>
  <si>
    <t>Atherton School, Inc.</t>
  </si>
  <si>
    <t>Blk 64 Ph 8 Atherton St. North Fairview Subdivision</t>
  </si>
  <si>
    <t>St. Peregrine Kiddie School of Novaliches</t>
  </si>
  <si>
    <t>Rolex St. Interville III</t>
  </si>
  <si>
    <t>Einstein School for Kids</t>
  </si>
  <si>
    <t>Block 68 Lots 30-32, Hermano Mayor St., Lagro Novaliches, Qu</t>
  </si>
  <si>
    <t>MSA Whiz Kids Academy, Inc.</t>
  </si>
  <si>
    <t>17 Bituin St. Teresa Heights</t>
  </si>
  <si>
    <t>Discovery House Montessori of Quezon City, Inc.</t>
  </si>
  <si>
    <t>59 Adrian Street, North Fairview Park Subdivision</t>
  </si>
  <si>
    <t>St. John the Baptist Academy of Novaliches Inc.</t>
  </si>
  <si>
    <t>211 Susano Rd, Ext. Nova</t>
  </si>
  <si>
    <t>School District XI</t>
  </si>
  <si>
    <t>Achievers Academy of Q.C. Inc.</t>
  </si>
  <si>
    <t>14 Mustang Street, Fairview Park Subdivision</t>
  </si>
  <si>
    <t>Bethel Christian School of Fairview, Inc.</t>
  </si>
  <si>
    <t>366 Chestnut Street corner Republic Avenue, West Fairview</t>
  </si>
  <si>
    <t>Mother school</t>
  </si>
  <si>
    <t>Blessed Scalabrini Institute, Inc.</t>
  </si>
  <si>
    <t>1 Omega Cor Timex</t>
  </si>
  <si>
    <t>Fairview Baptist Academy</t>
  </si>
  <si>
    <t>B2 L2 Windsor cor. Peacock Sts.,</t>
  </si>
  <si>
    <t>(HIS) Hope Integrated School, Inc</t>
  </si>
  <si>
    <t>#2 Iris St., Corner Dahlia Avenue West Fairview</t>
  </si>
  <si>
    <t>Falcon School, Inc.</t>
  </si>
  <si>
    <t>Dahlia Ave. Fairview Park Subd., West Fairview, Quezon City</t>
  </si>
  <si>
    <t>Brain Integrated School, Inc.</t>
  </si>
  <si>
    <t>#6 Biscayne St.,</t>
  </si>
  <si>
    <t>SGS-Shephedrs's Grace School</t>
  </si>
  <si>
    <t>Commonwealth Ave</t>
  </si>
  <si>
    <t>School District XV</t>
  </si>
  <si>
    <t>Abraham Dumlao Colleges of the Phils.</t>
  </si>
  <si>
    <t>12 Salvia St., Saint Dominic 12 Subd., Brgy. Kaligayahan, District IV, Novaliches,</t>
  </si>
  <si>
    <t>Jordan Woods Academy, Inc.</t>
  </si>
  <si>
    <t>Block 7 Lot 34 Don Mariano Marcos Avenue, Jordan Plains, Novaliches</t>
  </si>
  <si>
    <t>SANTA MONICA</t>
  </si>
  <si>
    <t>School District XVI</t>
  </si>
  <si>
    <t>Bagbag Elementary School</t>
  </si>
  <si>
    <t>Richland V Subdivision Barangay Bagbag Quezon City</t>
  </si>
  <si>
    <t>Goodwill ES</t>
  </si>
  <si>
    <t>-Noah St. Goodwill Homes II, Bagbag</t>
  </si>
  <si>
    <t>Odelco Elementary School</t>
  </si>
  <si>
    <t>Orange Street, Odelco Subdivision, Novaliches</t>
  </si>
  <si>
    <t>San Bartolome ES</t>
  </si>
  <si>
    <t>Quirino Highway</t>
  </si>
  <si>
    <t>AccessComputer &amp; Technical Colleges (Lagro, Quirino Q.C.) Inc.</t>
  </si>
  <si>
    <t>Brgy Great Lagro</t>
  </si>
  <si>
    <t>Sto. Niño Special Education Center Foundation,Inc</t>
  </si>
  <si>
    <t>20 Mamerto Cruz St., Cruzville Subd. Novaliches</t>
  </si>
  <si>
    <t>Blessed Marian School of Novaliches Inc.</t>
  </si>
  <si>
    <t>36 V. Bernardino Road, Bagbag, Novaliches</t>
  </si>
  <si>
    <t>Escuela De Corazon of Quezon City, Inc.</t>
  </si>
  <si>
    <t>Block 2, Lot 6 Magsaysay Avenue, Doña Faustina Village, Novaliches</t>
  </si>
  <si>
    <t>Little Stephanie Learning School, Inc.</t>
  </si>
  <si>
    <t>#111 P. Dela Cruz St.,</t>
  </si>
  <si>
    <t>John Xanderian Learning Center, Inc.</t>
  </si>
  <si>
    <t>Block 2 Lot 15 Santiago Subdivision, Sta. Monica</t>
  </si>
  <si>
    <t>Our Lady of the Angels Seminary-College, Inc.</t>
  </si>
  <si>
    <t>Seminary Road, Novaliches</t>
  </si>
  <si>
    <t>Little Anak Learning School, Inc.</t>
  </si>
  <si>
    <t>9 Silver St., Rockville Subdivision</t>
  </si>
  <si>
    <t>Dominiques Solis Academy Corporation</t>
  </si>
  <si>
    <t>No. 664 Electron Tech Bldg. Quirino H-way</t>
  </si>
  <si>
    <t>School District XVII</t>
  </si>
  <si>
    <t>Dona Rosario Elementary School</t>
  </si>
  <si>
    <t>Panday Pira Street</t>
  </si>
  <si>
    <t>Rosa L. Susano - Novaliches ES</t>
  </si>
  <si>
    <t>Gulod</t>
  </si>
  <si>
    <t>San Gabriel ES</t>
  </si>
  <si>
    <t>A. Bonifacio</t>
  </si>
  <si>
    <t>Villa Verde Elementary School</t>
  </si>
  <si>
    <t>Villa Verde Avenue, Villa Verde Homes</t>
  </si>
  <si>
    <t>San Agustin ES</t>
  </si>
  <si>
    <t>Heavenly Dr. St. San Agustin,  Novaliches, Quezon City</t>
  </si>
  <si>
    <t>Jose Maria Panganiban Senior High School</t>
  </si>
  <si>
    <t>Gulod Novaliches, Quezon City</t>
  </si>
  <si>
    <t>Capstone Highest Achiever Learning School Inc.</t>
  </si>
  <si>
    <t>Block 10 Lot 2 Queens Road corner Northwind Avenue Subdivision, Novaliches</t>
  </si>
  <si>
    <t>St. Anthony School of Sta. Lucia, Inc.</t>
  </si>
  <si>
    <t>33 F. Balagtas Street, Novaliches</t>
  </si>
  <si>
    <t>Trinity Polytechnic College, Inc.</t>
  </si>
  <si>
    <t>892 Alfina Building, Quirino Highway</t>
  </si>
  <si>
    <t>Daystar Academy, Inc.</t>
  </si>
  <si>
    <t>#96 Kilyawan St.</t>
  </si>
  <si>
    <t>John Mark Christian School of Nova., Inc.</t>
  </si>
  <si>
    <t>#29 Petronia St., Buenamar Subd. Novaliches Q.C</t>
  </si>
  <si>
    <t>Brother Sun Sister Moon Academy, Inc.</t>
  </si>
  <si>
    <t>001 J.P. Rizal Street, Novaliches</t>
  </si>
  <si>
    <t>Book of Life Christian Academy Novaliches, Inc.</t>
  </si>
  <si>
    <t>64 A. Bonifacio corner P. Burgos Street, Novaliches</t>
  </si>
  <si>
    <t>School of the Corpus Christi (Quezon City), Inc.</t>
  </si>
  <si>
    <t>L5B2, Atis Cor. Avocado Rds.,  Phase 1-A, Palmera,</t>
  </si>
  <si>
    <t>Aim Scholastic Informative Academy, Inc.</t>
  </si>
  <si>
    <t>Block 1 Lot 14, Santiago Subdivision, Novaliches</t>
  </si>
  <si>
    <t>Young Faye Learning School, Inc.</t>
  </si>
  <si>
    <t>2 P. Tupas Street, corner Lapu-lapu Street, Doña Rosario</t>
  </si>
  <si>
    <t>School of Thoughts and Principles, Inc.</t>
  </si>
  <si>
    <t>7 P. Burgos Street</t>
  </si>
  <si>
    <t>St. Alexis Community School of QC., Inc</t>
  </si>
  <si>
    <t>#27 Diego Silang St., Rivera Ville</t>
  </si>
  <si>
    <t>Kingsville Learning Center, Inc.</t>
  </si>
  <si>
    <t>6 Diego Silang St., Sta Lucia, Nova.</t>
  </si>
  <si>
    <t>Mount Charmel School For Achievers, Inc.</t>
  </si>
  <si>
    <t>#789 Quirino Highway, Gulod, Nova</t>
  </si>
  <si>
    <t>Divine Trinity Learning Academy, Inc.</t>
  </si>
  <si>
    <t>28 Jewel Street, Forest Hills Subdivision, Novaliches</t>
  </si>
  <si>
    <t>School District XVIII</t>
  </si>
  <si>
    <t>Damong Maliit ES</t>
  </si>
  <si>
    <t>-18 Trinidad Avenue, Nagkaisang Nayon</t>
  </si>
  <si>
    <t>Delfin M. Geraldez Memorial ES</t>
  </si>
  <si>
    <t>12 Salvia St., Kaligayahan</t>
  </si>
  <si>
    <t>Kaligayahan ES</t>
  </si>
  <si>
    <t>Rivera Compound</t>
  </si>
  <si>
    <t>Lagro ES</t>
  </si>
  <si>
    <t>-Ascension Ave., Brgy. Greater Lagro</t>
  </si>
  <si>
    <t>Maligaya ES</t>
  </si>
  <si>
    <t>Ilang-Ilang Pasong Putik Proper QC</t>
  </si>
  <si>
    <t>Nagkaisang Nayon ES</t>
  </si>
  <si>
    <t>-Mayon St.,Brgy Nagkaisang Nayon Q. C.</t>
  </si>
  <si>
    <t>North Fairview ES</t>
  </si>
  <si>
    <t>Avon St.,Cor. Astor</t>
  </si>
  <si>
    <t>Fairview ES</t>
  </si>
  <si>
    <t>Fairlane St.-</t>
  </si>
  <si>
    <t>West Fairview Elementary School</t>
  </si>
  <si>
    <t>Austin St. West Fairview</t>
  </si>
  <si>
    <t>HORSESHOE</t>
  </si>
  <si>
    <t>West Fairview High School</t>
  </si>
  <si>
    <t>Austin Street, West Fairview</t>
  </si>
  <si>
    <t>St. Theresa's School of Novaliches, Inc.</t>
  </si>
  <si>
    <t>7 KIngfisher Street, Zabarte Subdivision, Novaliches</t>
  </si>
  <si>
    <t>Active Thinkers Child Development, Inc.</t>
  </si>
  <si>
    <t>43 Chestnut Street, West Fairview</t>
  </si>
  <si>
    <t>JLM  Creative Learner's Home, Inc.</t>
  </si>
  <si>
    <t>The Redwoods Condominium, Quirino Highway corner Regalado Avenue, Novaliches</t>
  </si>
  <si>
    <t>The Growing Place Learning Center, Inc.</t>
  </si>
  <si>
    <t>12 Fiat Street, Fairview</t>
  </si>
  <si>
    <t>Jone Paul Christian School, Inc.</t>
  </si>
  <si>
    <t>313 Sitio Urlina Republic Ave., West Fairview</t>
  </si>
  <si>
    <t>Integrated Innovation and Hospitality Colleges, Inc.</t>
  </si>
  <si>
    <t>C. I. Plaza Building, Zabarte Road, Novaliches</t>
  </si>
  <si>
    <t>Lincoln School of Arts and Languages Inc.</t>
  </si>
  <si>
    <t>Lot 2 &amp; 4, Block 229, Mindanao Avenue, Extension, Neopolitan Subdivision</t>
  </si>
  <si>
    <t>Johnryn Learning School of Quezon City</t>
  </si>
  <si>
    <t>Block 213 Lot 21 Yuan Street, Phase 8 North Fairview</t>
  </si>
  <si>
    <t>Academia De Sta. Ana Lagro, Inc.</t>
  </si>
  <si>
    <t>B64L3 La Naval St.</t>
  </si>
  <si>
    <t>Upstreet Kids Schoolhouse</t>
  </si>
  <si>
    <t>13 Pontiac Street, Fairview Park</t>
  </si>
  <si>
    <t>Operation Brotherhood Montessori Center</t>
  </si>
  <si>
    <t>Napoli St, Neopolitan IV, Brittany Subd.</t>
  </si>
  <si>
    <t>The Raya School, Inc.</t>
  </si>
  <si>
    <t>Lot 3 Block 8 Sorrento Street, Neopolitan Business Park, Novaliches</t>
  </si>
  <si>
    <t>LSA Evergreen Christian Academy</t>
  </si>
  <si>
    <t>#17 Upper Narra St., Sapamanai</t>
  </si>
  <si>
    <t>The Fountain of Life School of Quezon City, Inc.</t>
  </si>
  <si>
    <t>433 Drachma Street</t>
  </si>
  <si>
    <t>Montessori Education Center of Asia Pacific, Inc.</t>
  </si>
  <si>
    <t>#6 Torquoise St., East Fairview</t>
  </si>
  <si>
    <t>Pedia House For Early Child Development Preschool</t>
  </si>
  <si>
    <t>B1L14 Sampaguita St., Maligaya Park</t>
  </si>
  <si>
    <t>Angels of Peace Academy Foundation Inc.</t>
  </si>
  <si>
    <t>Lot 25 Block 7 Beethhoven corner Bach Streets, Phase 4 North Olympus Subdivision</t>
  </si>
  <si>
    <t>Cribs to Crayons Academy, Inc.</t>
  </si>
  <si>
    <t>Rivera's Compound, P. Dela Cruz Street, Sitio Gitna, Novaliches</t>
  </si>
  <si>
    <t>Datamex - College of Saint Adeline, Inc.</t>
  </si>
  <si>
    <t>85 East Fairview Park Subdivision, Commonwealth Avenue</t>
  </si>
  <si>
    <t>Affordable Private Education Center, Inc. (APEC Schools)-North Fairview Branch</t>
  </si>
  <si>
    <t>Lot 10 Block 43, Regalado Highway</t>
  </si>
  <si>
    <t>School District XIX</t>
  </si>
  <si>
    <t>Leandro Locsin Integrated School</t>
  </si>
  <si>
    <t>ABE International Business College-Commonwealth</t>
  </si>
  <si>
    <t>Block 9, Lot 3 Neopolitan Business Park</t>
  </si>
  <si>
    <t>AMA Computer Learning Center - Greater Lagro</t>
  </si>
  <si>
    <t>2nd Floor, Bonanza Plaza 2 Bldg., Putol na Daan St., Quirino Hiway, Lagro, Quezon City</t>
  </si>
  <si>
    <t>Number of 4Ps Recipients (Conditional Cash Transfer Allowance)</t>
  </si>
  <si>
    <t>SY 2020-2021 to SY 2025-2026</t>
  </si>
  <si>
    <t>QUEZON CITY (5th District)</t>
  </si>
  <si>
    <t>SY 2021-2022</t>
  </si>
  <si>
    <t>SM Fairview Complex, Quirino Highway corner Regalado</t>
  </si>
  <si>
    <t>School District IV</t>
  </si>
  <si>
    <t>South East-Asia Institute of Trade and Technology Inc.</t>
  </si>
  <si>
    <t>JB Crystal Building Lots 36-38, Quirino Highway</t>
  </si>
  <si>
    <t>Another Home to Grow Academy Inc.,</t>
  </si>
  <si>
    <t>24 Adrian Street</t>
  </si>
  <si>
    <t>RICHLAND 5 SUBDIVISION BARANGAY BAGBAG QUEZON CITY</t>
  </si>
  <si>
    <t>Fairlane St. Fairview Quezon City</t>
  </si>
  <si>
    <t>Austin Street, Fairview Park</t>
  </si>
  <si>
    <t>Kinder &amp; Grade 11-12</t>
  </si>
  <si>
    <t>Our Lady of Lourdes of Novaliches (OLLSN), Inc.</t>
  </si>
  <si>
    <t>9 Nightingale, 14 Woodpecker Streets, ,Zabarte Subdivision</t>
  </si>
  <si>
    <t>The Lord of Grace Christian School, Inc.</t>
  </si>
  <si>
    <t>#30 Diamond Street, East Fairview, Quezon City</t>
  </si>
  <si>
    <t>L5 B5 RICHLAND 5 SUBDIVISION BARANGAY BAGBAG QUEZON CITY</t>
  </si>
  <si>
    <t>#18 Trinidad Avenue, Nagkaisang Nayon</t>
  </si>
  <si>
    <t>Ascension Ave.</t>
  </si>
  <si>
    <t>ES and JHS 
(K to 10)</t>
  </si>
  <si>
    <t>SY 2022-2023</t>
  </si>
  <si>
    <t>SY 2023-2024</t>
  </si>
  <si>
    <t>SLDM Colleges of Quezon City Inc.</t>
  </si>
  <si>
    <t>B1 L1 Salvador Avenue corner Quirino Highway, Jordan Plains</t>
  </si>
  <si>
    <t>School District VI</t>
  </si>
  <si>
    <t>St. John of Beverley School</t>
  </si>
  <si>
    <t>749 Quirino Highway</t>
  </si>
  <si>
    <t>Holy Cross Rd.</t>
  </si>
  <si>
    <t>Little Shepherd Child Development Center,</t>
  </si>
  <si>
    <t>B.6 L 30-31 st James st. San Pedro Subd. 7 San Bartolome Nov</t>
  </si>
  <si>
    <t>Resurrection Catholic School</t>
  </si>
  <si>
    <t>Pagkabuhay Road</t>
  </si>
  <si>
    <t>Grace Montessori School of Novaliches</t>
  </si>
  <si>
    <t>15N. Abelardo St., Doña Rosario Subd. Novaliches, QuezonCity</t>
  </si>
  <si>
    <t>Holy Child Academy- Main</t>
  </si>
  <si>
    <t>10 London Drive</t>
  </si>
  <si>
    <t>Sto. Nino Children Educational Center, Inc.</t>
  </si>
  <si>
    <t>Blk 10, Lot 6, Durian Street</t>
  </si>
  <si>
    <t>Heuin Dol World Mission Christian Academy</t>
  </si>
  <si>
    <t>25 Villaflor Village, Gulod, Novaliches Quezon City</t>
  </si>
  <si>
    <t>Golden Valley Academy</t>
  </si>
  <si>
    <t>1 Joyville Subd</t>
  </si>
  <si>
    <t>Sacred Heart Academy of Novaliches</t>
  </si>
  <si>
    <t>1155 Quirino Highway, Kaligayahan, Q.C.</t>
  </si>
  <si>
    <t>Saint Francis Xavier Catholic School</t>
  </si>
  <si>
    <t>160 Champaca Street, Maligaya Park Subdivision, Novaliches</t>
  </si>
  <si>
    <t>Sister Maria Carmela Brescia School</t>
  </si>
  <si>
    <t>MC Greenfields I,</t>
  </si>
  <si>
    <t>Jean-Baptiste of Reims College</t>
  </si>
  <si>
    <t>Olympus, Kaligayahan, Q.C.</t>
  </si>
  <si>
    <t>First Mile Christian School</t>
  </si>
  <si>
    <t>Block 85 Lot 1, Peseta corner Riyal Streets, Phase 8, Fairview</t>
  </si>
  <si>
    <t>Good Shepherd Cathedral School</t>
  </si>
  <si>
    <t>Omega Avenue Corner Rado St.</t>
  </si>
  <si>
    <t>Sisters of Mt. Carmel Catholic School, Inc.</t>
  </si>
  <si>
    <t>6 Carmel St., Fairview Park, Q.C.</t>
  </si>
  <si>
    <t>Olympian Preparatory &amp; English School Inc.</t>
  </si>
  <si>
    <t>Lot 2 Block 179 Geneva Gardens, Mindanao. Avenue Extension, Neopolitan Subdivision, North Fairview</t>
  </si>
  <si>
    <t>41 Mustang Street, Greater Fairview</t>
  </si>
  <si>
    <t>Datamex Bldg., 5 Commonwealth Avenue</t>
  </si>
  <si>
    <t>Affordable Private Education Center, Inc. -North Fairview</t>
  </si>
  <si>
    <t>Lot 10 Block 43, Regalado Avenue</t>
  </si>
  <si>
    <t>Grand Total</t>
  </si>
  <si>
    <t>SY 2024-2025</t>
  </si>
  <si>
    <t>Springfield School of Novaliches</t>
  </si>
  <si>
    <t>726 Quirino Highway</t>
  </si>
  <si>
    <t>Gymnazo Christian Academy, Inc.</t>
  </si>
  <si>
    <t>Block 52 Lot 3, Jose Abad Santos St., Brgy. Sta. Lucia, Novaliches, Quezon City</t>
  </si>
  <si>
    <t>International Christian School of Quezon City, Inc.</t>
  </si>
  <si>
    <t>103 General Luis Street, Novaliches</t>
  </si>
  <si>
    <t>St. Francis Divine College</t>
  </si>
  <si>
    <t>St. Dominic No 12 Salvia street Novaliches Quezon City</t>
  </si>
  <si>
    <t>Ina ng Buhay Catholic School, Inc.</t>
  </si>
  <si>
    <t>Jordan Heights Subdivision, Damong Maliit, Novaliches</t>
  </si>
  <si>
    <t>Beulah Land Christian College, Inc.</t>
  </si>
  <si>
    <t>36/38</t>
  </si>
  <si>
    <t>APEC Schools</t>
  </si>
  <si>
    <t>Tanya Bldg., Lot 10 &amp; 12 Block 43, Regalado Avenue Cor. Bronx St., Brgy. North Fairview, Quezon City</t>
  </si>
  <si>
    <t>Grade 11 UNIQUE TRACK</t>
  </si>
  <si>
    <t>G11 UNIQUE Male</t>
  </si>
  <si>
    <t>G11 UNIQUE Female</t>
  </si>
  <si>
    <t>Grade 12 UNIQUE TRACK</t>
  </si>
  <si>
    <t>G12 UNIQUE Male</t>
  </si>
  <si>
    <t>G12 UNIQUE Female</t>
  </si>
  <si>
    <t>SY 2025-2026</t>
  </si>
  <si>
    <t>Blk 125 Lot 22 Quirino Avenue, Lagro, Quezon City</t>
  </si>
  <si>
    <t>AISAT COLLEGE - QUEZON CITY, INC.</t>
  </si>
  <si>
    <t>Blk 3 Lot 2 Neopolitan Park, Phase 1</t>
  </si>
  <si>
    <t>B1 L1 Salvador Avenue corner Quirino Highway, Jordan Plains, Brgy Sta. Monica, Quezon City</t>
  </si>
  <si>
    <t>JBest College of Science and Technology, Inc.</t>
  </si>
  <si>
    <t>882 Nitang St., Quirino Highway Gulod, Novaliches, Quezon City</t>
  </si>
  <si>
    <t>Goodwill Academy, Inc.</t>
  </si>
  <si>
    <t>Blk. 8, Lot 12 Benevolence St. Goodwill homes 1 San Bartolome Nov. Q.C.</t>
  </si>
  <si>
    <t>Lot 3 Block 52,  Jose Abad Santos St., Brgy. Sta. Lucia, Novaliches, Quezon City</t>
  </si>
  <si>
    <t>25 Cavalier Street, East Fairview, Quezon City</t>
  </si>
  <si>
    <t>Another Home to Grow Academy Inc. doing Business under another Home to Grow Learning Center</t>
  </si>
  <si>
    <t>24 Adrian Street, North Fairview Park Subd., North Fairview, Quezon City</t>
  </si>
  <si>
    <t>59 Adrian Street, North Fairview Park Subdivision, Brgy. North Fairview, Quezon City</t>
  </si>
  <si>
    <t>14 Mustang Street, Fairview , Quezon City</t>
  </si>
  <si>
    <t>Lot4-A Magsaysay St.,Doña Faustina  Subd., San Bartolome, Novaliches, Quezon City</t>
  </si>
  <si>
    <t>Block 10 Lot 2 Queens Road corner Northwind Subdivision, Nagkaisang Nayon, Novaliches, Quezon City</t>
  </si>
  <si>
    <t>St. Anthony School of Sta. Lucia Inc.</t>
  </si>
  <si>
    <t>33 F. Balagtas Street, Sta. Lucia, Novaliches, Quezon City</t>
  </si>
  <si>
    <t>892 Alfina Bldg. Quirino Highway, Brgy. Gulod, Novaliches, Quezon City</t>
  </si>
  <si>
    <t>John Mark Christian School of Novaliches, Inc.</t>
  </si>
  <si>
    <t>#29 Petronia St., Buenamar Subd. Novaliches, Quezon City</t>
  </si>
  <si>
    <t>#27 Diego Silang St., Rivera Ville, Sta. Lucia, Novaliches, Quezon City</t>
  </si>
  <si>
    <t>Active Thinkers Child Development Center Inc.</t>
  </si>
  <si>
    <t>41 Mustang Street, West Fairview, Quezon City</t>
  </si>
  <si>
    <t>The Redwoods Condominium, Sales Pavilion, Quirino Highway, Fairview, Quezon City</t>
  </si>
  <si>
    <t>12 Fiat Street, West Fairview Park Subd., Quezon City</t>
  </si>
  <si>
    <t>Johnryn Learning School of Quezon City Inc.</t>
  </si>
  <si>
    <t>Block 213 Lot 21 Yuan Street, Phase 8 North Fairview, Quezon City</t>
  </si>
  <si>
    <t>ES and JHS</t>
  </si>
  <si>
    <t>All Offering</t>
  </si>
  <si>
    <t>Grade 11 SSHS-ACAD</t>
  </si>
  <si>
    <t>Grade 11 SSHS-TECHPRO</t>
  </si>
  <si>
    <t>g11male_ACAD_SSHS</t>
  </si>
  <si>
    <t>g11female_ACAD_SSHS</t>
  </si>
  <si>
    <t>g11male_ACAD_TECHPRO</t>
  </si>
  <si>
    <t>g11female_ACAD_TECHPRO</t>
  </si>
  <si>
    <t>SY</t>
  </si>
  <si>
    <t>Row Labels</t>
  </si>
  <si>
    <t>Sum of Total4</t>
  </si>
  <si>
    <t>Column Labels</t>
  </si>
  <si>
    <t>4P's Recipients (Conditional Cash Transfer Allowance)</t>
  </si>
  <si>
    <t>Quezon City (5th District) per Barangay</t>
  </si>
  <si>
    <t>Historical Data</t>
  </si>
  <si>
    <t>Based on LIS BOSY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</si>
</sst>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6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/>
    <xf numFmtId="164" fontId="3" fillId="0" borderId="0" xfId="1" applyNumberFormat="1" applyFont="1"/>
    <xf numFmtId="164" fontId="2" fillId="3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0" fillId="2" borderId="0" xfId="0" applyFill="1"/>
    <xf numFmtId="0" fontId="4" fillId="0" borderId="0" xfId="0" applyFont="1"/>
    <xf numFmtId="0" fontId="0" fillId="0" borderId="0" xfId="0" applyAlignment="1">
      <alignment vertical="center"/>
    </xf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5" borderId="0" xfId="0" applyFill="1"/>
    <xf numFmtId="166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0" fillId="9" borderId="0" xfId="0" applyFill="1"/>
    <xf numFmtId="166" fontId="2" fillId="4" borderId="2" xfId="1" applyNumberFormat="1" applyFont="1" applyFill="1" applyBorder="1" applyAlignment="1">
      <alignment horizontal="center" vertical="center"/>
    </xf>
    <xf numFmtId="166" fontId="2" fillId="4" borderId="3" xfId="1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Indicio" refreshedDate="46136.401081249998" createdVersion="8" refreshedVersion="8" minRefreshableVersion="3" recordCount="664" xr:uid="{193F3A18-DDC6-4584-8715-015C40567EDD}">
  <cacheSource type="worksheet">
    <worksheetSource ref="A6:CN670" sheet="RAWDATA_4Ps"/>
  </cacheSource>
  <cacheFields count="92">
    <cacheField name="SY" numFmtId="0">
      <sharedItems count="6">
        <s v="SY 2020-2021"/>
        <s v="SY 2021-2022"/>
        <s v="SY 2022-2023"/>
        <s v="SY 2023-2024"/>
        <s v="SY 2024-2025"/>
        <s v="SY 2025-2026"/>
      </sharedItems>
    </cacheField>
    <cacheField name="Division" numFmtId="0">
      <sharedItems/>
    </cacheField>
    <cacheField name="District" numFmtId="0">
      <sharedItems/>
    </cacheField>
    <cacheField name="BEIS School ID" numFmtId="0">
      <sharedItems containsSemiMixedTypes="0" containsString="0" containsNumber="1" containsInteger="1" minValue="136520" maxValue="482987"/>
    </cacheField>
    <cacheField name="School Name" numFmtId="0">
      <sharedItems/>
    </cacheField>
    <cacheField name="Street Address" numFmtId="0">
      <sharedItems/>
    </cacheField>
    <cacheField name="Legislative District" numFmtId="0">
      <sharedItems/>
    </cacheField>
    <cacheField name="Barangay" numFmtId="0">
      <sharedItems count="15">
        <s v="SANTA LUCIA"/>
        <s v="KALIGAYAHAN"/>
        <s v="GREATER LAGRO"/>
        <s v="GULOD"/>
        <s v="FAIRVIEW"/>
        <s v="BAGBAG"/>
        <s v="SAN BARTOLOME"/>
        <s v="SAN AGUSTIN"/>
        <s v="NOVALICHES PROPER"/>
        <s v="PASONG PUTIK PROPER (PASONG PUTIK)"/>
        <s v="NORTH FAIRVIEW"/>
        <s v="NAGKAISANG NAYON"/>
        <s v="SANTA MONICA"/>
        <s v="HORSESHOE"/>
        <s v="TANDANG SORA" u="1"/>
      </sharedItems>
    </cacheField>
    <cacheField name="Sector" numFmtId="0">
      <sharedItems/>
    </cacheField>
    <cacheField name="School Subclassification" numFmtId="0">
      <sharedItems/>
    </cacheField>
    <cacheField name="School Type" numFmtId="0">
      <sharedItems containsBlank="1"/>
    </cacheField>
    <cacheField name="Curricular Offering Classification" numFmtId="0">
      <sharedItems containsBlank="1"/>
    </cacheField>
    <cacheField name="Implementing Unit" numFmtId="0">
      <sharedItems containsBlank="1"/>
    </cacheField>
    <cacheField name="Modified Curricural Offering Classification" numFmtId="0">
      <sharedItems containsBlank="1"/>
    </cacheField>
    <cacheField name="K Male" numFmtId="0">
      <sharedItems containsString="0" containsBlank="1" containsNumber="1" containsInteger="1" minValue="0" maxValue="15"/>
    </cacheField>
    <cacheField name="K Female" numFmtId="0">
      <sharedItems containsString="0" containsBlank="1" containsNumber="1" containsInteger="1" minValue="0" maxValue="12"/>
    </cacheField>
    <cacheField name="G1 Male" numFmtId="0">
      <sharedItems containsString="0" containsBlank="1" containsNumber="1" containsInteger="1" minValue="0" maxValue="24"/>
    </cacheField>
    <cacheField name="G1 Female" numFmtId="0">
      <sharedItems containsString="0" containsBlank="1" containsNumber="1" containsInteger="1" minValue="0" maxValue="26"/>
    </cacheField>
    <cacheField name="G2 Male" numFmtId="0">
      <sharedItems containsString="0" containsBlank="1" containsNumber="1" containsInteger="1" minValue="0" maxValue="20"/>
    </cacheField>
    <cacheField name="G2 Female" numFmtId="0">
      <sharedItems containsString="0" containsBlank="1" containsNumber="1" containsInteger="1" minValue="0" maxValue="27"/>
    </cacheField>
    <cacheField name="G3 Male" numFmtId="0">
      <sharedItems containsString="0" containsBlank="1" containsNumber="1" containsInteger="1" minValue="0" maxValue="44"/>
    </cacheField>
    <cacheField name="G3 Female" numFmtId="0">
      <sharedItems containsString="0" containsBlank="1" containsNumber="1" containsInteger="1" minValue="0" maxValue="38"/>
    </cacheField>
    <cacheField name="G4 Male" numFmtId="0">
      <sharedItems containsString="0" containsBlank="1" containsNumber="1" containsInteger="1" minValue="0" maxValue="66"/>
    </cacheField>
    <cacheField name="G4 Female" numFmtId="0">
      <sharedItems containsString="0" containsBlank="1" containsNumber="1" containsInteger="1" minValue="0" maxValue="63"/>
    </cacheField>
    <cacheField name="G5 Male" numFmtId="0">
      <sharedItems containsString="0" containsBlank="1" containsNumber="1" containsInteger="1" minValue="0" maxValue="60"/>
    </cacheField>
    <cacheField name="G5 Female" numFmtId="0">
      <sharedItems containsString="0" containsBlank="1" containsNumber="1" containsInteger="1" minValue="0" maxValue="71"/>
    </cacheField>
    <cacheField name="G6 Male" numFmtId="0">
      <sharedItems containsString="0" containsBlank="1" containsNumber="1" containsInteger="1" minValue="0" maxValue="117"/>
    </cacheField>
    <cacheField name="G6 Female" numFmtId="0">
      <sharedItems containsString="0" containsBlank="1" containsNumber="1" containsInteger="1" minValue="0" maxValue="102"/>
    </cacheField>
    <cacheField name="Elem NG Male" numFmtId="0">
      <sharedItems containsString="0" containsBlank="1" containsNumber="1" containsInteger="1" minValue="0" maxValue="5"/>
    </cacheField>
    <cacheField name="Elem NG Female" numFmtId="0">
      <sharedItems containsString="0" containsBlank="1" containsNumber="1" containsInteger="1" minValue="0" maxValue="4"/>
    </cacheField>
    <cacheField name="Male" numFmtId="0">
      <sharedItems containsSemiMixedTypes="0" containsString="0" containsNumber="1" containsInteger="1" minValue="0" maxValue="334"/>
    </cacheField>
    <cacheField name="Female" numFmtId="0">
      <sharedItems containsSemiMixedTypes="0" containsString="0" containsNumber="1" containsInteger="1" minValue="0" maxValue="299"/>
    </cacheField>
    <cacheField name="Total" numFmtId="0">
      <sharedItems containsSemiMixedTypes="0" containsString="0" containsNumber="1" containsInteger="1" minValue="0" maxValue="633"/>
    </cacheField>
    <cacheField name="G7 Male" numFmtId="0">
      <sharedItems containsString="0" containsBlank="1" containsNumber="1" containsInteger="1" minValue="0" maxValue="75"/>
    </cacheField>
    <cacheField name="G7 Female" numFmtId="0">
      <sharedItems containsString="0" containsBlank="1" containsNumber="1" containsInteger="1" minValue="0" maxValue="77"/>
    </cacheField>
    <cacheField name="G8 Male" numFmtId="0">
      <sharedItems containsString="0" containsBlank="1" containsNumber="1" containsInteger="1" minValue="0" maxValue="75"/>
    </cacheField>
    <cacheField name="G8 Female" numFmtId="0">
      <sharedItems containsString="0" containsBlank="1" containsNumber="1" containsInteger="1" minValue="0" maxValue="78"/>
    </cacheField>
    <cacheField name="G9 Male" numFmtId="0">
      <sharedItems containsString="0" containsBlank="1" containsNumber="1" containsInteger="1" minValue="0" maxValue="76"/>
    </cacheField>
    <cacheField name="G9 Female" numFmtId="0">
      <sharedItems containsString="0" containsBlank="1" containsNumber="1" containsInteger="1" minValue="0" maxValue="86"/>
    </cacheField>
    <cacheField name="G10 Male" numFmtId="0">
      <sharedItems containsString="0" containsBlank="1" containsNumber="1" containsInteger="1" minValue="0" maxValue="67"/>
    </cacheField>
    <cacheField name="G10 Female" numFmtId="0">
      <sharedItems containsString="0" containsBlank="1" containsNumber="1" containsInteger="1" minValue="0" maxValue="85"/>
    </cacheField>
    <cacheField name="JHS NG Male" numFmtId="0">
      <sharedItems containsString="0" containsBlank="1" containsNumber="1" containsInteger="1" minValue="0" maxValue="0"/>
    </cacheField>
    <cacheField name="JHS NG Female" numFmtId="0">
      <sharedItems containsString="0" containsBlank="1" containsNumber="1" containsInteger="1" minValue="0" maxValue="0"/>
    </cacheField>
    <cacheField name="Male2" numFmtId="0">
      <sharedItems containsSemiMixedTypes="0" containsString="0" containsNumber="1" containsInteger="1" minValue="0" maxValue="259"/>
    </cacheField>
    <cacheField name="Female2" numFmtId="0">
      <sharedItems containsSemiMixedTypes="0" containsString="0" containsNumber="1" containsInteger="1" minValue="0" maxValue="294"/>
    </cacheField>
    <cacheField name="Total2" numFmtId="0">
      <sharedItems containsSemiMixedTypes="0" containsString="0" containsNumber="1" containsInteger="1" minValue="0" maxValue="553"/>
    </cacheField>
    <cacheField name="G11 ACAD - ABM Male" numFmtId="0">
      <sharedItems containsString="0" containsBlank="1" containsNumber="1" containsInteger="1" minValue="0" maxValue="14"/>
    </cacheField>
    <cacheField name="G11 ACAD - ABM Female" numFmtId="0">
      <sharedItems containsString="0" containsBlank="1" containsNumber="1" containsInteger="1" minValue="0" maxValue="34"/>
    </cacheField>
    <cacheField name="G11 ACAD - HUMSS Male" numFmtId="0">
      <sharedItems containsString="0" containsBlank="1" containsNumber="1" containsInteger="1" minValue="0" maxValue="56"/>
    </cacheField>
    <cacheField name="G11 ACAD - HUMSS Female" numFmtId="0">
      <sharedItems containsString="0" containsBlank="1" containsNumber="1" containsInteger="1" minValue="0" maxValue="54"/>
    </cacheField>
    <cacheField name="G11 ACAD STEM Male" numFmtId="0">
      <sharedItems containsString="0" containsBlank="1" containsNumber="1" containsInteger="1" minValue="0" maxValue="36"/>
    </cacheField>
    <cacheField name="G11 ACAD STEM Female" numFmtId="0">
      <sharedItems containsString="0" containsBlank="1" containsNumber="1" containsInteger="1" minValue="0" maxValue="65"/>
    </cacheField>
    <cacheField name="G11 ACAD GAS Male" numFmtId="0">
      <sharedItems containsString="0" containsBlank="1" containsNumber="1" containsInteger="1" minValue="0" maxValue="6"/>
    </cacheField>
    <cacheField name="G11 ACAD GAS Female" numFmtId="0">
      <sharedItems containsString="0" containsBlank="1" containsNumber="1" containsInteger="1" minValue="0" maxValue="6"/>
    </cacheField>
    <cacheField name="G11 ACAD PBM Male" numFmtId="0">
      <sharedItems containsString="0" containsBlank="1" containsNumber="1" containsInteger="1" minValue="0" maxValue="0"/>
    </cacheField>
    <cacheField name="G11 ACAD PBM Female" numFmtId="0">
      <sharedItems containsString="0" containsBlank="1" containsNumber="1" containsInteger="1" minValue="0" maxValue="1"/>
    </cacheField>
    <cacheField name="G11 TVL Male" numFmtId="0">
      <sharedItems containsString="0" containsBlank="1" containsNumber="1" containsInteger="1" minValue="0" maxValue="52"/>
    </cacheField>
    <cacheField name="G11 TVL Female" numFmtId="0">
      <sharedItems containsString="0" containsBlank="1" containsNumber="1" containsInteger="1" minValue="0" maxValue="55"/>
    </cacheField>
    <cacheField name="G11 SPORTS Male" numFmtId="0">
      <sharedItems containsString="0" containsBlank="1" containsNumber="1" containsInteger="1" minValue="0" maxValue="0"/>
    </cacheField>
    <cacheField name="G11 SPORTS Female" numFmtId="0">
      <sharedItems containsString="0" containsBlank="1" containsNumber="1" containsInteger="1" minValue="0" maxValue="0"/>
    </cacheField>
    <cacheField name="G11 ARTS Male" numFmtId="0">
      <sharedItems containsString="0" containsBlank="1" containsNumber="1" containsInteger="1" minValue="0" maxValue="0"/>
    </cacheField>
    <cacheField name="G11 ARTS Female" numFmtId="0">
      <sharedItems containsString="0" containsBlank="1" containsNumber="1" containsInteger="1" minValue="0" maxValue="1"/>
    </cacheField>
    <cacheField name="G11 UNIQUE Male" numFmtId="0">
      <sharedItems containsString="0" containsBlank="1" containsNumber="1" containsInteger="1" minValue="0" maxValue="0"/>
    </cacheField>
    <cacheField name="G11 UNIQUE Female" numFmtId="0">
      <sharedItems containsString="0" containsBlank="1" containsNumber="1" containsInteger="1" minValue="0" maxValue="0"/>
    </cacheField>
    <cacheField name="g11male_ACAD_SSHS" numFmtId="0">
      <sharedItems containsString="0" containsBlank="1" containsNumber="1" containsInteger="1" minValue="0" maxValue="17"/>
    </cacheField>
    <cacheField name="g11female_ACAD_SSHS" numFmtId="0">
      <sharedItems containsString="0" containsBlank="1" containsNumber="1" containsInteger="1" minValue="0" maxValue="25"/>
    </cacheField>
    <cacheField name="g11male_ACAD_TECHPRO" numFmtId="0">
      <sharedItems containsString="0" containsBlank="1" containsNumber="1" containsInteger="1" minValue="0" maxValue="21"/>
    </cacheField>
    <cacheField name="g11female_ACAD_TECHPRO" numFmtId="0">
      <sharedItems containsString="0" containsBlank="1" containsNumber="1" containsInteger="1" minValue="0" maxValue="25"/>
    </cacheField>
    <cacheField name="G12 ACAD - ABM Male" numFmtId="0">
      <sharedItems containsString="0" containsBlank="1" containsNumber="1" containsInteger="1" minValue="0" maxValue="15"/>
    </cacheField>
    <cacheField name="G12 ACAD - ABM Female" numFmtId="0">
      <sharedItems containsString="0" containsBlank="1" containsNumber="1" containsInteger="1" minValue="0" maxValue="29"/>
    </cacheField>
    <cacheField name="G12 ACAD - HUMSS Male" numFmtId="0">
      <sharedItems containsString="0" containsBlank="1" containsNumber="1" containsInteger="1" minValue="0" maxValue="52"/>
    </cacheField>
    <cacheField name="G12 ACAD - HUMSS Female" numFmtId="0">
      <sharedItems containsString="0" containsBlank="1" containsNumber="1" containsInteger="1" minValue="0" maxValue="51"/>
    </cacheField>
    <cacheField name="G12 ACAD STEM Male" numFmtId="0">
      <sharedItems containsString="0" containsBlank="1" containsNumber="1" containsInteger="1" minValue="0" maxValue="38"/>
    </cacheField>
    <cacheField name="G12 ACAD STEM Female" numFmtId="0">
      <sharedItems containsString="0" containsBlank="1" containsNumber="1" containsInteger="1" minValue="0" maxValue="67"/>
    </cacheField>
    <cacheField name="G12 ACAD GAS Male" numFmtId="0">
      <sharedItems containsString="0" containsBlank="1" containsNumber="1" containsInteger="1" minValue="0" maxValue="6"/>
    </cacheField>
    <cacheField name="G12 ACAD GAS Female" numFmtId="0">
      <sharedItems containsString="0" containsBlank="1" containsNumber="1" containsInteger="1" minValue="0" maxValue="7"/>
    </cacheField>
    <cacheField name="G12 ACAD PBM Male" numFmtId="0">
      <sharedItems containsString="0" containsBlank="1" containsNumber="1" containsInteger="1" minValue="0" maxValue="0"/>
    </cacheField>
    <cacheField name="G12 ACAD PBM Female" numFmtId="0">
      <sharedItems containsString="0" containsBlank="1" containsNumber="1" containsInteger="1" minValue="0" maxValue="1"/>
    </cacheField>
    <cacheField name="G12 TVL Male" numFmtId="0">
      <sharedItems containsString="0" containsBlank="1" containsNumber="1" containsInteger="1" minValue="0" maxValue="47"/>
    </cacheField>
    <cacheField name="G12 TVL Female" numFmtId="0">
      <sharedItems containsString="0" containsBlank="1" containsNumber="1" containsInteger="1" minValue="0" maxValue="49"/>
    </cacheField>
    <cacheField name="G12 SPORTS Male" numFmtId="0">
      <sharedItems containsString="0" containsBlank="1" containsNumber="1" containsInteger="1" minValue="0" maxValue="0"/>
    </cacheField>
    <cacheField name="G12 SPORTS Female" numFmtId="0">
      <sharedItems containsString="0" containsBlank="1" containsNumber="1" containsInteger="1" minValue="0" maxValue="0"/>
    </cacheField>
    <cacheField name="G12 ARTS Male" numFmtId="0">
      <sharedItems containsString="0" containsBlank="1" containsNumber="1" containsInteger="1" minValue="0" maxValue="1"/>
    </cacheField>
    <cacheField name="G12 ARTS Female" numFmtId="0">
      <sharedItems containsString="0" containsBlank="1" containsNumber="1" containsInteger="1" minValue="0" maxValue="1"/>
    </cacheField>
    <cacheField name="G12 UNIQUE Male" numFmtId="0">
      <sharedItems containsString="0" containsBlank="1" containsNumber="1" containsInteger="1" minValue="0" maxValue="0"/>
    </cacheField>
    <cacheField name="G12 UNIQUE Female" numFmtId="0">
      <sharedItems containsString="0" containsBlank="1" containsNumber="1" containsInteger="1" minValue="0" maxValue="0"/>
    </cacheField>
    <cacheField name="Male3" numFmtId="0">
      <sharedItems containsSemiMixedTypes="0" containsString="0" containsNumber="1" containsInteger="1" minValue="0" maxValue="222"/>
    </cacheField>
    <cacheField name="Female3" numFmtId="0">
      <sharedItems containsSemiMixedTypes="0" containsString="0" containsNumber="1" containsInteger="1" minValue="0" maxValue="239"/>
    </cacheField>
    <cacheField name="Total3" numFmtId="0">
      <sharedItems containsSemiMixedTypes="0" containsString="0" containsNumber="1" containsInteger="1" minValue="0" maxValue="461"/>
    </cacheField>
    <cacheField name="Male4" numFmtId="0">
      <sharedItems containsSemiMixedTypes="0" containsString="0" containsNumber="1" containsInteger="1" minValue="0" maxValue="334"/>
    </cacheField>
    <cacheField name="Female4" numFmtId="0">
      <sharedItems containsSemiMixedTypes="0" containsString="0" containsNumber="1" containsInteger="1" minValue="0" maxValue="299"/>
    </cacheField>
    <cacheField name="Total4" numFmtId="0">
      <sharedItems containsSemiMixedTypes="0" containsString="0" containsNumber="1" containsInteger="1" minValue="0" maxValue="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4">
  <r>
    <x v="0"/>
    <s v="Quezon City"/>
    <s v="School District I"/>
    <n v="340690"/>
    <s v="Sta. Lucia Senior High School"/>
    <s v="A. Mabini Street, Novaliches"/>
    <s v="5th District"/>
    <x v="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"/>
    <n v="401453"/>
    <s v="Bestlink College of the Philippines"/>
    <s v="762 Topaz corner Sapphire Street, Millionares Village, San Agustin"/>
    <s v="5th District"/>
    <x v="1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29"/>
    <n v="12"/>
    <n v="0"/>
    <n v="0"/>
    <n v="0"/>
    <n v="0"/>
    <n v="0"/>
    <n v="0"/>
    <n v="0"/>
    <n v="0"/>
    <n v="0"/>
    <n v="0"/>
    <m/>
    <m/>
    <n v="29"/>
    <n v="12"/>
    <n v="41"/>
    <n v="29"/>
    <n v="12"/>
    <n v="41"/>
  </r>
  <r>
    <x v="0"/>
    <s v="Quezon City"/>
    <s v="School District I"/>
    <n v="401495"/>
    <s v="National Polytechnic College of Science and Technology-Lagro"/>
    <s v="Blk. 125, Lot 22, Quirino Highway, Lagro, Quezon City"/>
    <s v="5th District"/>
    <x v="2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"/>
    <n v="401500"/>
    <s v="National Polytechnic College of Science and Technology-Novaliches"/>
    <s v="Blk 4 Lot 7 Palm Street, Greenfields 1 Subd., Novaliches, Quezon City"/>
    <s v="5th District"/>
    <x v="3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"/>
    <n v="409925"/>
    <s v="Electron College of Technical Education Corporation"/>
    <s v="CPE Building, Commonwealth Avenue,"/>
    <s v="5th District"/>
    <x v="4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"/>
    <n v="409926"/>
    <s v="Electron College of Technical Education Corporation"/>
    <s v="661 Electron Building, Quirino Highway, Novaliches"/>
    <s v="5th District"/>
    <x v="5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"/>
    <n v="410227"/>
    <s v="NU Fairview Incorporated"/>
    <s v="SM Fairview Complex,Quiirino Highway corner Regalado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"/>
    <n v="406537"/>
    <s v="AccessComputer and Technical Colleges (Novaliches, Q.C.) Inc."/>
    <s v="1151 Quirino Hway corner Zabarte Road"/>
    <s v="5th District"/>
    <x v="1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III"/>
    <n v="305341"/>
    <s v="San Bartolome HS"/>
    <s v="67 Sinforosa Street, Novaliches"/>
    <s v="5th District"/>
    <x v="6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77"/>
    <n v="55"/>
    <n v="59"/>
    <n v="34"/>
    <n v="31"/>
    <n v="23"/>
    <n v="29"/>
    <n v="0"/>
    <n v="0"/>
    <n v="187"/>
    <n v="196"/>
    <n v="383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87"/>
    <n v="196"/>
    <n v="383"/>
  </r>
  <r>
    <x v="0"/>
    <s v="Quezon City"/>
    <s v="School District VIII"/>
    <n v="406446"/>
    <s v="Colegio de San Bartolome de Novaliches, Inc."/>
    <s v="Quirino Highway corner P. Dela Cruz Street, Novaliches"/>
    <s v="5th District"/>
    <x v="6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III"/>
    <n v="406459"/>
    <s v="Super Child Academy"/>
    <s v="659 Quirino"/>
    <s v="5th District"/>
    <x v="5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III"/>
    <n v="407772"/>
    <s v="AIM School for Excellence Inc."/>
    <s v="Block 5 Lot 40 St. James Street, San Pedro Subdivision 7"/>
    <s v="5th District"/>
    <x v="6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III"/>
    <n v="482601"/>
    <s v="SBMS ACADEMY, INCORPORATED"/>
    <s v="168 Dela Cruz St."/>
    <s v="5th District"/>
    <x v="6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III"/>
    <n v="482742"/>
    <s v="Angelique Devine Grace School of Quezon City, Inc."/>
    <s v="38 Sta. Veronica Street, Novaliches"/>
    <s v="5th District"/>
    <x v="3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VIII"/>
    <n v="482792"/>
    <s v="Saint Nicholas of Bari School"/>
    <s v="Franco Comp.Holy Cross Road San Bartolome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X"/>
    <n v="305340"/>
    <s v="Novaliches HS"/>
    <s v="Lakandula"/>
    <s v="5th District"/>
    <x v="7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9"/>
    <n v="47"/>
    <n v="46"/>
    <n v="10"/>
    <n v="11"/>
    <n v="33"/>
    <n v="45"/>
    <n v="0"/>
    <n v="0"/>
    <n v="124"/>
    <n v="131"/>
    <n v="255"/>
    <n v="5"/>
    <n v="15"/>
    <n v="1"/>
    <n v="3"/>
    <n v="0"/>
    <n v="1"/>
    <n v="0"/>
    <n v="0"/>
    <n v="0"/>
    <n v="0"/>
    <n v="5"/>
    <n v="4"/>
    <n v="0"/>
    <n v="0"/>
    <n v="0"/>
    <n v="0"/>
    <m/>
    <m/>
    <m/>
    <m/>
    <m/>
    <m/>
    <n v="1"/>
    <n v="4"/>
    <n v="1"/>
    <n v="6"/>
    <n v="0"/>
    <n v="0"/>
    <n v="0"/>
    <n v="0"/>
    <n v="0"/>
    <n v="0"/>
    <n v="0"/>
    <n v="0"/>
    <n v="0"/>
    <n v="0"/>
    <n v="0"/>
    <n v="0"/>
    <m/>
    <m/>
    <n v="13"/>
    <n v="33"/>
    <n v="46"/>
    <n v="137"/>
    <n v="164"/>
    <n v="301"/>
  </r>
  <r>
    <x v="0"/>
    <s v="Quezon City"/>
    <s v="School District IX"/>
    <n v="305342"/>
    <s v="Sta. Lucia HS"/>
    <s v="J.P. Rizal Street, Novaliches"/>
    <s v="5th District"/>
    <x v="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53"/>
    <n v="75"/>
    <n v="78"/>
    <n v="76"/>
    <n v="86"/>
    <n v="63"/>
    <n v="77"/>
    <n v="0"/>
    <n v="0"/>
    <n v="259"/>
    <n v="294"/>
    <n v="553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59"/>
    <n v="294"/>
    <n v="553"/>
  </r>
  <r>
    <x v="0"/>
    <s v="Quezon City"/>
    <s v="School District IX"/>
    <n v="319504"/>
    <s v="Dona Rosario HS"/>
    <s v="P. Urduja Street"/>
    <s v="5th District"/>
    <x v="8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43"/>
    <n v="64"/>
    <n v="45"/>
    <n v="66"/>
    <n v="68"/>
    <n v="57"/>
    <n v="55"/>
    <n v="0"/>
    <n v="0"/>
    <n v="247"/>
    <n v="211"/>
    <n v="458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47"/>
    <n v="211"/>
    <n v="458"/>
  </r>
  <r>
    <x v="0"/>
    <s v="Quezon City"/>
    <s v="School District IX"/>
    <n v="406472"/>
    <s v="Sto. Nino de Novaliches School"/>
    <s v="Buenamar Street"/>
    <s v="5th District"/>
    <x v="8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IX"/>
    <n v="482540"/>
    <s v="St. Patrick School of Novaliches, Inc."/>
    <s v="#16 Jewel St. Forest Hills Subd."/>
    <s v="5th District"/>
    <x v="3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1"/>
    <n v="1"/>
  </r>
  <r>
    <x v="0"/>
    <s v="Quezon City"/>
    <s v="School District IX"/>
    <n v="482607"/>
    <s v="Bloomridge Integrated School"/>
    <s v="248 Gen. Luis Street"/>
    <s v="5th District"/>
    <x v="8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305336"/>
    <s v="Lagro HS"/>
    <s v="Misa de Gallo St. cor. Ascension Ave., Brgy. Greater Lagro,"/>
    <s v="5th District"/>
    <x v="2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5"/>
    <n v="0"/>
    <n v="7"/>
    <n v="25"/>
    <n v="27"/>
    <n v="27"/>
    <n v="30"/>
    <n v="0"/>
    <n v="0"/>
    <n v="58"/>
    <n v="79"/>
    <n v="137"/>
    <n v="1"/>
    <n v="0"/>
    <n v="0"/>
    <n v="3"/>
    <n v="0"/>
    <n v="0"/>
    <n v="0"/>
    <n v="0"/>
    <n v="0"/>
    <n v="0"/>
    <n v="0"/>
    <n v="0"/>
    <n v="0"/>
    <n v="0"/>
    <n v="0"/>
    <n v="0"/>
    <m/>
    <m/>
    <m/>
    <m/>
    <m/>
    <m/>
    <n v="1"/>
    <n v="12"/>
    <n v="1"/>
    <n v="5"/>
    <n v="4"/>
    <n v="1"/>
    <n v="0"/>
    <n v="0"/>
    <n v="0"/>
    <n v="0"/>
    <n v="2"/>
    <n v="9"/>
    <n v="0"/>
    <n v="0"/>
    <n v="0"/>
    <n v="0"/>
    <m/>
    <m/>
    <n v="9"/>
    <n v="30"/>
    <n v="39"/>
    <n v="67"/>
    <n v="109"/>
    <n v="176"/>
  </r>
  <r>
    <x v="0"/>
    <s v="Quezon City"/>
    <s v="School District X"/>
    <n v="305338"/>
    <s v="Maligaya HS"/>
    <s v="Ilang-Ilang Street"/>
    <s v="5th District"/>
    <x v="9"/>
    <s v="Public"/>
    <s v="DepED Managed"/>
    <s v="School with no Annexes"/>
    <s v="Grade 7-10"/>
    <s v="No"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n v="0"/>
    <n v="0"/>
    <n v="2"/>
    <n v="4"/>
    <n v="36"/>
    <n v="33"/>
    <n v="0"/>
    <n v="0"/>
    <n v="67"/>
    <n v="66"/>
    <n v="133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7"/>
    <n v="66"/>
    <n v="133"/>
  </r>
  <r>
    <x v="0"/>
    <s v="Quezon City"/>
    <s v="School District X"/>
    <n v="305339"/>
    <s v="North Fairview HS"/>
    <s v="Auburn North Fairview"/>
    <s v="5th District"/>
    <x v="1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3"/>
    <n v="20"/>
    <n v="15"/>
    <n v="18"/>
    <n v="28"/>
    <n v="7"/>
    <n v="16"/>
    <n v="0"/>
    <n v="0"/>
    <n v="69"/>
    <n v="72"/>
    <n v="141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9"/>
    <n v="72"/>
    <n v="141"/>
  </r>
  <r>
    <x v="0"/>
    <s v="Quezon City"/>
    <s v="School District X"/>
    <n v="401447"/>
    <s v="AMA Computer College-Farview"/>
    <s v="Blk 61, Lot 28-31, Bristol St. Cor. Regalado Ave., Brgy. North Fairview, Q.C."/>
    <s v="5th District"/>
    <x v="10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6474"/>
    <s v="Divine Grace School"/>
    <s v="Ilang-Ilang Street"/>
    <s v="5th District"/>
    <x v="9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6484"/>
    <s v="Our Lady of Fatima University"/>
    <s v="Hilltop Mansion, Lagro, Quezon City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6487"/>
    <s v="School of St. Anthony"/>
    <s v="Lagro QC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6490"/>
    <s v="St. Kevin School"/>
    <s v="92 Susano Rd. San Agustin Quezon City"/>
    <s v="5th District"/>
    <x v="7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6493"/>
    <s v="St. Vincent de Paul Academy of Novaliches, Inc."/>
    <s v="Atrium St., Maligaya Park Subd., Pasong Putik, Nova., QC"/>
    <s v="5th District"/>
    <x v="9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6510"/>
    <s v="Covenant of Grace School"/>
    <s v="#6 Pearl St. East Fairview"/>
    <s v="5th District"/>
    <x v="4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07808"/>
    <s v="Jbest School of Technology and Practical Skills - Lagro, Inc."/>
    <s v="4th Floor Lester Bldg. Km. 22 Quirino Highway, Lagro"/>
    <s v="5th District"/>
    <x v="9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4"/>
    <n v="0"/>
    <n v="0"/>
    <n v="0"/>
    <n v="0"/>
    <n v="0"/>
    <n v="0"/>
    <n v="6"/>
    <n v="10"/>
    <n v="0"/>
    <n v="0"/>
    <n v="0"/>
    <n v="0"/>
    <m/>
    <m/>
    <m/>
    <m/>
    <m/>
    <m/>
    <n v="0"/>
    <n v="4"/>
    <n v="2"/>
    <n v="10"/>
    <n v="0"/>
    <n v="0"/>
    <n v="0"/>
    <n v="0"/>
    <n v="0"/>
    <n v="0"/>
    <n v="5"/>
    <n v="19"/>
    <n v="0"/>
    <n v="0"/>
    <n v="0"/>
    <n v="0"/>
    <m/>
    <m/>
    <n v="14"/>
    <n v="52"/>
    <n v="66"/>
    <n v="14"/>
    <n v="52"/>
    <n v="66"/>
  </r>
  <r>
    <x v="0"/>
    <s v="Quezon City"/>
    <s v="School District X"/>
    <n v="410119"/>
    <s v="The Steppingstone Progressivist School Inc."/>
    <s v="25 Cavalier Street, Ea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504"/>
    <s v="St. Mary's School of Novaliches, Inc."/>
    <s v="Olympus Drive, North Olympus Subdivision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521"/>
    <s v="Another Home to Grow Learning Center"/>
    <s v="#24 Adrian"/>
    <s v="5th District"/>
    <x v="10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541"/>
    <s v="St. Mariam Thresia School"/>
    <s v="135 Gen. Luis St., Nagkaisang Nayon, Q,C,"/>
    <s v="5th District"/>
    <x v="1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600"/>
    <s v="Virgen de Guadalupe de Novaliches"/>
    <s v="41 Sampaguita"/>
    <s v="5th District"/>
    <x v="9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611"/>
    <s v="School of St. Maximilian Mary Kolbe, Inc."/>
    <s v="Block 9 Lot 10 Atrium Street, Maligaya Park Subdivision"/>
    <s v="5th District"/>
    <x v="9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612"/>
    <s v="Beulah Land Christian School of Quezon City, Inc."/>
    <s v="Mary town Circle"/>
    <s v="5th District"/>
    <x v="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617"/>
    <s v="St. Joseph School of Fairview, Inc."/>
    <s v="Atherton"/>
    <s v="5th District"/>
    <x v="10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619"/>
    <s v="Atherton School, Inc."/>
    <s v="Blk 64 Ph 8 Atherton St. North Fairview Subdivision"/>
    <s v="5th District"/>
    <x v="10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692"/>
    <s v="St. Peregrine Kiddie School of Novaliches"/>
    <s v="Rolex St. Interville III"/>
    <s v="5th District"/>
    <x v="7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719"/>
    <s v="Einstein School for Kids"/>
    <s v="Block 68 Lots 30-32, Hermano Mayor St., Lagro Novaliches, Qu"/>
    <s v="5th District"/>
    <x v="2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730"/>
    <s v="MSA Whiz Kids Academy, Inc."/>
    <s v="17 Bituin St. Teresa Heights"/>
    <s v="5th District"/>
    <x v="9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821"/>
    <s v="Discovery House Montessori of Quezon City, Inc."/>
    <s v="59 Adrian Street, North Fairview Park Subdivision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"/>
    <n v="482825"/>
    <s v="St. John the Baptist Academy of Novaliches Inc."/>
    <s v="211 Susano Rd, Ext. Nova"/>
    <s v="5th District"/>
    <x v="7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06495"/>
    <s v="Achievers Academy of Q.C. Inc."/>
    <s v="14 Mustang Street, Fairview Park Subdivision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06500"/>
    <s v="Bethel Christian School of Fairview, Inc."/>
    <s v="366 Chestnut Street corner Republic Avenue, West Fairview"/>
    <s v="5th District"/>
    <x v="4"/>
    <s v="Private"/>
    <s v="Non-Sectarian "/>
    <s v="Mother school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06502"/>
    <s v="Blessed Scalabrini Institute, Inc."/>
    <s v="1 Omega Cor Timex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06512"/>
    <s v="Fairview Baptist Academy"/>
    <s v="B2 L2 Windsor cor. Peacock Sts.,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06570"/>
    <s v="(HIS) Hope Integrated School, Inc"/>
    <s v="#2 Iris St., Corner Dahlia Avenue West Fairview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82522"/>
    <s v="Falcon School, Inc."/>
    <s v="Dahlia Ave. Fairview Park Subd., West Fairview, Quezon City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82620"/>
    <s v="Brain Integrated School, Inc."/>
    <s v="#6 Biscayne St.,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"/>
    <n v="482780"/>
    <s v="SGS-Shephedrs's Grace School"/>
    <s v="Commonwealth Ave"/>
    <s v="5th District"/>
    <x v="4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"/>
    <n v="406018"/>
    <s v="Abraham Dumlao Colleges of the Phils."/>
    <s v="12 Salvia St., Saint Dominic 12 Subd., Brgy. Kaligayahan, District IV, Novaliches,"/>
    <s v="5th District"/>
    <x v="8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"/>
    <n v="410229"/>
    <s v="Jordan Woods Academy, Inc."/>
    <s v="Block 7 Lot 34 Don Mariano Marcos Avenue, Jordan Plains, Novaliches"/>
    <s v="5th District"/>
    <x v="1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136520"/>
    <s v="Bagbag Elementary School"/>
    <s v="Richland V Subdivision Barangay Bagbag Quezon City"/>
    <s v="5th District"/>
    <x v="5"/>
    <s v="Public"/>
    <s v="DepED Managed"/>
    <s v="School with no Annexes"/>
    <s v="Kinder &amp; Grade 1-6"/>
    <s v="No"/>
    <s v="Purely ES"/>
    <n v="2"/>
    <n v="1"/>
    <n v="2"/>
    <n v="1"/>
    <n v="5"/>
    <n v="4"/>
    <n v="4"/>
    <n v="3"/>
    <n v="6"/>
    <n v="3"/>
    <n v="7"/>
    <n v="8"/>
    <n v="13"/>
    <n v="10"/>
    <n v="0"/>
    <n v="0"/>
    <n v="39"/>
    <n v="3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9"/>
    <n v="30"/>
    <n v="69"/>
  </r>
  <r>
    <x v="0"/>
    <s v="Quezon City"/>
    <s v="School District XVI"/>
    <n v="136521"/>
    <s v="Goodwill ES"/>
    <s v="-Noah St. Goodwill Homes II, Bagbag"/>
    <s v="5th District"/>
    <x v="5"/>
    <s v="Public"/>
    <s v="DepED Managed"/>
    <s v="School with no Annexes"/>
    <s v="Kinder &amp; Grade 1-6"/>
    <s v="No"/>
    <s v="Purely ES"/>
    <n v="1"/>
    <n v="0"/>
    <n v="0"/>
    <n v="0"/>
    <n v="0"/>
    <n v="0"/>
    <n v="0"/>
    <n v="0"/>
    <n v="0"/>
    <n v="1"/>
    <n v="5"/>
    <n v="0"/>
    <n v="0"/>
    <n v="0"/>
    <n v="0"/>
    <n v="0"/>
    <n v="6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"/>
    <n v="1"/>
    <n v="7"/>
  </r>
  <r>
    <x v="0"/>
    <s v="Quezon City"/>
    <s v="School District XVI"/>
    <n v="136523"/>
    <s v="Odelco Elementary School"/>
    <s v="Orange Street, Odelco Subdivision, Novaliches"/>
    <s v="5th District"/>
    <x v="6"/>
    <s v="Public"/>
    <s v="DepED Managed"/>
    <s v="School with no Annexes"/>
    <s v="Kinder &amp; Grade 1-6"/>
    <s v="No"/>
    <s v="Purely ES"/>
    <n v="0"/>
    <n v="0"/>
    <n v="1"/>
    <n v="0"/>
    <n v="0"/>
    <n v="0"/>
    <n v="0"/>
    <n v="0"/>
    <n v="0"/>
    <n v="1"/>
    <n v="1"/>
    <n v="0"/>
    <n v="1"/>
    <n v="5"/>
    <n v="0"/>
    <n v="2"/>
    <n v="3"/>
    <n v="8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8"/>
    <n v="11"/>
  </r>
  <r>
    <x v="0"/>
    <s v="Quezon City"/>
    <s v="School District XVI"/>
    <n v="136525"/>
    <s v="San Bartolome ES"/>
    <s v="Quirino Highway"/>
    <s v="5th District"/>
    <x v="6"/>
    <s v="Public"/>
    <s v="DepED Managed"/>
    <s v="School with no Annexes"/>
    <s v="Kinder &amp; Grade 1-6"/>
    <s v="No"/>
    <s v="Purely ES"/>
    <n v="0"/>
    <n v="0"/>
    <n v="0"/>
    <n v="0"/>
    <n v="0"/>
    <n v="0"/>
    <n v="1"/>
    <n v="1"/>
    <n v="0"/>
    <n v="0"/>
    <n v="2"/>
    <n v="1"/>
    <n v="0"/>
    <n v="5"/>
    <n v="0"/>
    <n v="0"/>
    <n v="3"/>
    <n v="7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7"/>
    <n v="10"/>
  </r>
  <r>
    <x v="0"/>
    <s v="Quezon City"/>
    <s v="School District XVI"/>
    <n v="406533"/>
    <s v="AccessComputer &amp; Technical Colleges (Lagro, Quirino Q.C.) Inc."/>
    <s v="Brgy Great Lagro"/>
    <s v="5th District"/>
    <x v="2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08500"/>
    <s v="Sto. Niño Special Education Center Foundation,Inc"/>
    <s v="20 Mamerto Cruz St., Cruzville Subd. Novaliches"/>
    <s v="5th District"/>
    <x v="1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09711"/>
    <s v="Blessed Marian School of Novaliches Inc."/>
    <s v="36 V. Bernardino Road, Bagbag, Novaliches"/>
    <s v="5th District"/>
    <x v="5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82834"/>
    <s v="Escuela De Corazon of Quezon City, Inc."/>
    <s v="Block 2, Lot 6 Magsaysay Avenue, Doña Faustina Village, Novaliches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82835"/>
    <s v="Little Stephanie Learning School, Inc."/>
    <s v="#111 P. Dela Cruz St.,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82916"/>
    <s v="John Xanderian Learning Center, Inc."/>
    <s v="Block 2 Lot 15 Santiago Subdivision, Sta. Monica"/>
    <s v="5th District"/>
    <x v="8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82929"/>
    <s v="Our Lady of the Angels Seminary-College, Inc."/>
    <s v="Seminary Road, Novaliches"/>
    <s v="5th District"/>
    <x v="5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82941"/>
    <s v="Little Anak Learning School, Inc."/>
    <s v="9 Silver St., Rockville Subdivision"/>
    <s v="5th District"/>
    <x v="6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"/>
    <n v="482968"/>
    <s v="Dominiques Solis Academy Corporation"/>
    <s v="No. 664 Electron Tech Bldg. Quirino H-way"/>
    <s v="5th District"/>
    <x v="5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136527"/>
    <s v="Dona Rosario Elementary School"/>
    <s v="Panday Pira Street"/>
    <s v="5th District"/>
    <x v="8"/>
    <s v="Public"/>
    <s v="DepED Managed"/>
    <s v="School with no Annexes"/>
    <s v="Kinder &amp; Grade 1-6"/>
    <s v="No"/>
    <s v="Purely ES"/>
    <n v="1"/>
    <n v="1"/>
    <n v="0"/>
    <n v="0"/>
    <n v="1"/>
    <n v="1"/>
    <n v="0"/>
    <n v="0"/>
    <n v="0"/>
    <n v="0"/>
    <n v="0"/>
    <n v="0"/>
    <n v="0"/>
    <n v="0"/>
    <n v="0"/>
    <n v="0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"/>
    <n v="2"/>
    <n v="4"/>
  </r>
  <r>
    <x v="0"/>
    <s v="Quezon City"/>
    <s v="School District XVII"/>
    <n v="136528"/>
    <s v="Rosa L. Susano - Novaliches ES"/>
    <s v="Gulod"/>
    <s v="5th District"/>
    <x v="3"/>
    <s v="Public"/>
    <s v="DepED Managed"/>
    <s v="School with no Annexes"/>
    <s v="Kinder &amp; Grade 1-6"/>
    <s v="No"/>
    <s v="Purely ES"/>
    <n v="8"/>
    <n v="5"/>
    <n v="20"/>
    <n v="26"/>
    <n v="20"/>
    <n v="27"/>
    <n v="43"/>
    <n v="33"/>
    <n v="31"/>
    <n v="28"/>
    <n v="33"/>
    <n v="41"/>
    <n v="75"/>
    <n v="99"/>
    <n v="1"/>
    <n v="1"/>
    <n v="231"/>
    <n v="260"/>
    <n v="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31"/>
    <n v="260"/>
    <n v="491"/>
  </r>
  <r>
    <x v="0"/>
    <s v="Quezon City"/>
    <s v="School District XVII"/>
    <n v="136529"/>
    <s v="San Gabriel ES"/>
    <s v="A. Bonifacio"/>
    <s v="5th District"/>
    <x v="0"/>
    <s v="Public"/>
    <s v="DepED Managed"/>
    <s v="School with no Annexes"/>
    <s v="Kinder &amp; Grade 1-6"/>
    <s v="No"/>
    <s v="Purely ES"/>
    <n v="0"/>
    <n v="0"/>
    <n v="0"/>
    <n v="0"/>
    <n v="4"/>
    <n v="8"/>
    <n v="6"/>
    <n v="7"/>
    <n v="17"/>
    <n v="22"/>
    <n v="4"/>
    <n v="10"/>
    <n v="21"/>
    <n v="20"/>
    <n v="4"/>
    <n v="0"/>
    <n v="56"/>
    <n v="67"/>
    <n v="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56"/>
    <n v="67"/>
    <n v="123"/>
  </r>
  <r>
    <x v="0"/>
    <s v="Quezon City"/>
    <s v="School District XVII"/>
    <n v="136530"/>
    <s v="Villa Verde Elementary School"/>
    <s v="Villa Verde Avenue, Villa Verde Homes"/>
    <s v="5th District"/>
    <x v="12"/>
    <s v="Public"/>
    <s v="DepED Managed"/>
    <s v="School with no Annexes"/>
    <s v="Kinder &amp; Grade 1-6"/>
    <s v="No"/>
    <s v="Purely ES"/>
    <n v="0"/>
    <n v="0"/>
    <n v="5"/>
    <n v="3"/>
    <n v="14"/>
    <n v="5"/>
    <n v="1"/>
    <n v="1"/>
    <n v="4"/>
    <n v="4"/>
    <n v="3"/>
    <n v="3"/>
    <n v="11"/>
    <n v="9"/>
    <n v="0"/>
    <n v="0"/>
    <n v="38"/>
    <n v="25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8"/>
    <n v="25"/>
    <n v="63"/>
  </r>
  <r>
    <x v="0"/>
    <s v="Quezon City"/>
    <s v="School District XVII"/>
    <n v="136538"/>
    <s v="San Agustin ES"/>
    <s v="Heavenly Dr. St. San Agustin,  Novaliches, Quezon City"/>
    <s v="5th District"/>
    <x v="7"/>
    <s v="Public"/>
    <s v="DepED Managed"/>
    <s v="School with no Annexes"/>
    <s v="Kinder &amp; Grade 1-6"/>
    <s v="No"/>
    <s v="Purely ES"/>
    <n v="0"/>
    <n v="2"/>
    <n v="3"/>
    <n v="2"/>
    <n v="1"/>
    <n v="0"/>
    <n v="4"/>
    <n v="4"/>
    <n v="13"/>
    <n v="8"/>
    <n v="8"/>
    <n v="8"/>
    <n v="6"/>
    <n v="6"/>
    <n v="5"/>
    <n v="0"/>
    <n v="40"/>
    <n v="3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0"/>
    <n v="30"/>
    <n v="70"/>
  </r>
  <r>
    <x v="0"/>
    <s v="Quezon City"/>
    <s v="School District XVII"/>
    <n v="340697"/>
    <s v="Jose Maria Panganiban Senior High School"/>
    <s v="Gulod Novaliches, Quezon City"/>
    <s v="5th District"/>
    <x v="3"/>
    <s v="Public"/>
    <s v="DepED Managed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09329"/>
    <s v="Capstone Highest Achiever Learning School Inc."/>
    <s v="Block 10 Lot 2 Queens Road corner Northwind Avenue Subdivision, Novaliches"/>
    <s v="5th District"/>
    <x v="1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09731"/>
    <s v="St. Anthony School of Sta. Lucia, Inc."/>
    <s v="33 F. Balagtas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09737"/>
    <s v="Trinity Polytechnic College, Inc."/>
    <s v="892 Alfina Building, Quirino Highway"/>
    <s v="5th District"/>
    <x v="3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830"/>
    <s v="Daystar Academy, Inc."/>
    <s v="#96 Kilyawan St."/>
    <s v="5th District"/>
    <x v="1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836"/>
    <s v="John Mark Christian School of Nova., Inc."/>
    <s v="#29 Petronia St., Buenamar Subd. Novaliches Q.C"/>
    <s v="5th District"/>
    <x v="8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887"/>
    <s v="Brother Sun Sister Moon Academy, Inc."/>
    <s v="001 J.P. Rizal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889"/>
    <s v="Book of Life Christian Academy Novaliches, Inc."/>
    <s v="64 A. Bonifacio corner P. Burgos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890"/>
    <s v="School of the Corpus Christi (Quezon City), Inc."/>
    <s v="L5B2, Atis Cor. Avocado Rds.,  Phase 1-A, Palmera,"/>
    <s v="5th District"/>
    <x v="1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897"/>
    <s v="Aim Scholastic Informative Academy, Inc."/>
    <s v="Block 1 Lot 14, Santiago Subdivision, Novaliches"/>
    <s v="5th District"/>
    <x v="12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903"/>
    <s v="Young Faye Learning School, Inc."/>
    <s v="2 P. Tupas Street, corner Lapu-lapu Street, Doña Rosario"/>
    <s v="5th District"/>
    <x v="8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909"/>
    <s v="School of Thoughts and Principles, Inc."/>
    <s v="7 P. Burgos Street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963"/>
    <s v="St. Alexis Community School of QC., Inc"/>
    <s v="#27 Diego Silang St., Rivera Ville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978"/>
    <s v="Kingsville Learning Center, Inc."/>
    <s v="6 Diego Silang St., Sta Lucia, Nova.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979"/>
    <s v="Mount Charmel School For Achievers, Inc."/>
    <s v="#789 Quirino Highway, Gulod, Nova"/>
    <s v="5th District"/>
    <x v="3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"/>
    <n v="482980"/>
    <s v="Divine Trinity Learning Academy, Inc."/>
    <s v="28 Jewel Street, Forest Hills Subdivision, Novaliches"/>
    <s v="5th District"/>
    <x v="3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136531"/>
    <s v="Damong Maliit ES"/>
    <s v="-18 Trinidad Avenue, Nagkaisang Nayon"/>
    <s v="5th District"/>
    <x v="11"/>
    <s v="Public"/>
    <s v="DepED Managed"/>
    <s v="School with no Annexes"/>
    <s v="Kinder &amp; Grade 1-6"/>
    <s v="No"/>
    <s v="Purely ES"/>
    <n v="0"/>
    <n v="0"/>
    <n v="0"/>
    <n v="0"/>
    <n v="0"/>
    <n v="2"/>
    <n v="0"/>
    <n v="0"/>
    <n v="0"/>
    <n v="0"/>
    <n v="0"/>
    <n v="0"/>
    <n v="0"/>
    <n v="2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4"/>
    <n v="4"/>
  </r>
  <r>
    <x v="0"/>
    <s v="Quezon City"/>
    <s v="School District XVIII"/>
    <n v="136532"/>
    <s v="Delfin M. Geraldez Memorial ES"/>
    <s v="12 Salvia St., Kaligayahan"/>
    <s v="5th District"/>
    <x v="1"/>
    <s v="Public"/>
    <s v="DepED Managed"/>
    <s v="School with no Annexes"/>
    <s v="Kinder &amp; Grade 1-6"/>
    <s v="No"/>
    <s v="Purely ES"/>
    <n v="0"/>
    <n v="2"/>
    <n v="0"/>
    <n v="1"/>
    <n v="1"/>
    <n v="0"/>
    <n v="0"/>
    <n v="0"/>
    <n v="4"/>
    <n v="4"/>
    <n v="5"/>
    <n v="4"/>
    <n v="0"/>
    <n v="0"/>
    <n v="0"/>
    <n v="0"/>
    <n v="10"/>
    <n v="1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0"/>
    <n v="11"/>
    <n v="21"/>
  </r>
  <r>
    <x v="0"/>
    <s v="Quezon City"/>
    <s v="School District XVIII"/>
    <n v="136533"/>
    <s v="Kaligayahan ES"/>
    <s v="Rivera Compound"/>
    <s v="5th District"/>
    <x v="1"/>
    <s v="Public"/>
    <s v="DepED Managed"/>
    <s v="School with no Annexes"/>
    <s v="Kinder &amp; Grade 1-6"/>
    <s v="No"/>
    <s v="Purely ES"/>
    <n v="0"/>
    <n v="0"/>
    <n v="0"/>
    <n v="1"/>
    <n v="0"/>
    <n v="0"/>
    <n v="0"/>
    <n v="0"/>
    <n v="0"/>
    <n v="0"/>
    <n v="2"/>
    <n v="2"/>
    <n v="0"/>
    <n v="0"/>
    <n v="1"/>
    <n v="0"/>
    <n v="3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3"/>
    <n v="6"/>
  </r>
  <r>
    <x v="0"/>
    <s v="Quezon City"/>
    <s v="School District XVIII"/>
    <n v="136534"/>
    <s v="Lagro ES"/>
    <s v="-Ascension Ave., Brgy. Greater Lagro"/>
    <s v="5th District"/>
    <x v="2"/>
    <s v="Public"/>
    <s v="DepED Managed"/>
    <s v="School with no Annexes"/>
    <s v="Kinder &amp; Grade 1-6"/>
    <s v="No"/>
    <s v="Purely ES"/>
    <n v="0"/>
    <n v="0"/>
    <n v="0"/>
    <n v="0"/>
    <n v="0"/>
    <n v="0"/>
    <n v="1"/>
    <n v="0"/>
    <n v="0"/>
    <n v="1"/>
    <n v="2"/>
    <n v="0"/>
    <n v="0"/>
    <n v="0"/>
    <n v="0"/>
    <n v="0"/>
    <n v="3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1"/>
    <n v="4"/>
  </r>
  <r>
    <x v="0"/>
    <s v="Quezon City"/>
    <s v="School District XVIII"/>
    <n v="136535"/>
    <s v="Maligaya ES"/>
    <s v="Ilang-Ilang Pasong Putik Proper QC"/>
    <s v="5th District"/>
    <x v="9"/>
    <s v="Public"/>
    <s v="DepED Managed"/>
    <s v="School with no Annexes"/>
    <s v="Kinder &amp; Grade 1-6"/>
    <s v="No"/>
    <s v="Purely ES"/>
    <n v="0"/>
    <n v="1"/>
    <n v="11"/>
    <n v="6"/>
    <n v="8"/>
    <n v="4"/>
    <n v="7"/>
    <n v="10"/>
    <n v="6"/>
    <n v="6"/>
    <n v="17"/>
    <n v="16"/>
    <n v="32"/>
    <n v="30"/>
    <n v="0"/>
    <n v="0"/>
    <n v="81"/>
    <n v="73"/>
    <n v="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81"/>
    <n v="73"/>
    <n v="154"/>
  </r>
  <r>
    <x v="0"/>
    <s v="Quezon City"/>
    <s v="School District XVIII"/>
    <n v="136536"/>
    <s v="Nagkaisang Nayon ES"/>
    <s v="-Mayon St.,Brgy Nagkaisang Nayon Q. C."/>
    <s v="5th District"/>
    <x v="11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4"/>
    <n v="3"/>
    <n v="0"/>
    <n v="0"/>
    <n v="8"/>
    <n v="6"/>
    <n v="0"/>
    <n v="0"/>
    <n v="12"/>
    <n v="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2"/>
    <n v="9"/>
    <n v="21"/>
  </r>
  <r>
    <x v="0"/>
    <s v="Quezon City"/>
    <s v="School District XVIII"/>
    <n v="136537"/>
    <s v="North Fairview ES"/>
    <s v="Avon St.,Cor. Astor"/>
    <s v="5th District"/>
    <x v="10"/>
    <s v="Public"/>
    <s v="DepED Managed"/>
    <s v="School with no Annexes"/>
    <s v="Kinder &amp; Grade 1-6"/>
    <s v="No"/>
    <s v="Purely ES"/>
    <n v="6"/>
    <n v="4"/>
    <n v="0"/>
    <n v="0"/>
    <n v="14"/>
    <n v="6"/>
    <n v="11"/>
    <n v="14"/>
    <n v="7"/>
    <n v="10"/>
    <n v="4"/>
    <n v="1"/>
    <n v="17"/>
    <n v="19"/>
    <n v="0"/>
    <n v="0"/>
    <n v="59"/>
    <n v="54"/>
    <n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59"/>
    <n v="54"/>
    <n v="113"/>
  </r>
  <r>
    <x v="0"/>
    <s v="Quezon City"/>
    <s v="School District XVIII"/>
    <n v="136543"/>
    <s v="Fairview ES"/>
    <s v="Fairlane St.-"/>
    <s v="5th District"/>
    <x v="4"/>
    <s v="Public"/>
    <s v="DepED Managed"/>
    <s v="School with no Annexes"/>
    <s v="Kinder &amp; Grade 1-6"/>
    <s v="No"/>
    <s v="Purely ES"/>
    <n v="5"/>
    <n v="1"/>
    <n v="7"/>
    <n v="2"/>
    <n v="4"/>
    <n v="8"/>
    <n v="5"/>
    <n v="9"/>
    <n v="6"/>
    <n v="0"/>
    <n v="12"/>
    <n v="9"/>
    <n v="10"/>
    <n v="17"/>
    <n v="0"/>
    <n v="0"/>
    <n v="49"/>
    <n v="46"/>
    <n v="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9"/>
    <n v="46"/>
    <n v="95"/>
  </r>
  <r>
    <x v="0"/>
    <s v="Quezon City"/>
    <s v="School District XVIII"/>
    <n v="222501"/>
    <s v="West Fairview Elementary School"/>
    <s v="Austin St. West Fairview"/>
    <s v="5th District"/>
    <x v="13"/>
    <s v="Public"/>
    <s v="DepED Managed"/>
    <s v="School with no Annexes"/>
    <s v="Kinder &amp; Grade 1-6"/>
    <s v="No"/>
    <s v="Purely ES"/>
    <n v="1"/>
    <n v="0"/>
    <n v="0"/>
    <n v="0"/>
    <n v="2"/>
    <n v="4"/>
    <n v="0"/>
    <n v="0"/>
    <n v="0"/>
    <n v="0"/>
    <n v="0"/>
    <n v="0"/>
    <n v="2"/>
    <n v="0"/>
    <n v="0"/>
    <n v="0"/>
    <n v="5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5"/>
    <n v="4"/>
    <n v="9"/>
  </r>
  <r>
    <x v="0"/>
    <s v="Quezon City"/>
    <s v="School District XVIII"/>
    <n v="305635"/>
    <s v="West Fairview High School"/>
    <s v="Austin Street, West Fairview"/>
    <s v="5th District"/>
    <x v="4"/>
    <s v="Public"/>
    <s v="DepED Managed"/>
    <s v="School with no Annexes"/>
    <s v="Grade 7-10"/>
    <s v="No"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"/>
    <n v="2"/>
    <n v="3"/>
  </r>
  <r>
    <x v="0"/>
    <s v="Quezon City"/>
    <s v="School District XVIII"/>
    <n v="406492"/>
    <s v="St. Theresa's School of Novaliches, Inc."/>
    <s v="7 KIngfisher Street, Zabarte Subdivision, Novaliches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m/>
    <m/>
    <n v="1"/>
    <n v="0"/>
    <n v="1"/>
    <n v="1"/>
    <n v="0"/>
    <n v="1"/>
  </r>
  <r>
    <x v="0"/>
    <s v="Quezon City"/>
    <s v="School District XVIII"/>
    <n v="408390"/>
    <s v="Active Thinkers Child Development, Inc."/>
    <s v="43 Chestnut Street, We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08616"/>
    <s v="JLM  Creative Learner's Home, Inc."/>
    <s v="The Redwoods Condominium, Quirino Highway corner Regalado Avenue, Novaliches"/>
    <s v="5th District"/>
    <x v="9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08783"/>
    <s v="The Growing Place Learning Center, Inc."/>
    <s v="12 Fiat Street, Fairview"/>
    <s v="5th District"/>
    <x v="4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08809"/>
    <s v="Jone Paul Christian School, Inc."/>
    <s v="313 Sitio Urlina Republic Ave., West Fairview"/>
    <s v="5th District"/>
    <x v="4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08851"/>
    <s v="Integrated Innovation and Hospitality Colleges, Inc."/>
    <s v="C. I. Plaza Building, Zabarte Road, Novaliches"/>
    <s v="5th District"/>
    <x v="1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09734"/>
    <s v="Lincoln School of Arts and Languages Inc."/>
    <s v="Lot 2 &amp; 4, Block 229, Mindanao Avenue, Extension, Neopolitan Subdivision"/>
    <s v="5th District"/>
    <x v="9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09888"/>
    <s v="Johnryn Learning School of Quezon City"/>
    <s v="Block 213 Lot 21 Yuan Street, Phase 8 North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685"/>
    <s v="Academia De Sta. Ana Lagro, Inc."/>
    <s v="B64L3 La Naval St."/>
    <s v="5th District"/>
    <x v="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701"/>
    <s v="Upstreet Kids Schoolhouse"/>
    <s v="13 Pontiac Street, Fairview Park"/>
    <s v="5th District"/>
    <x v="4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709"/>
    <s v="Operation Brotherhood Montessori Center"/>
    <s v="Napoli St, Neopolitan IV, Brittany Subd."/>
    <s v="5th District"/>
    <x v="6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716"/>
    <s v="The Raya School, Inc."/>
    <s v="Lot 3 Block 8 Sorrento Street, Neopolitan Business Park, Novaliches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885"/>
    <s v="LSA Evergreen Christian Academy"/>
    <s v="#17 Upper Narra St., Sapamanai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891"/>
    <s v="The Fountain of Life School of Quezon City, Inc."/>
    <s v="433 Drachma Street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906"/>
    <s v="Montessori Education Center of Asia Pacific, Inc."/>
    <s v="#6 Torquoise St., Ea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934"/>
    <s v="Pedia House For Early Child Development Preschool"/>
    <s v="B1L14 Sampaguita St., Maligaya Park"/>
    <s v="5th District"/>
    <x v="9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935"/>
    <s v="Angels of Peace Academy Foundation Inc."/>
    <s v="Lot 25 Block 7 Beethhoven corner Bach Streets, Phase 4 North Olympus Subdivision"/>
    <s v="5th District"/>
    <x v="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949"/>
    <s v="Cribs to Crayons Academy, Inc."/>
    <s v="Rivera's Compound, P. Dela Cruz Street, Sitio Gitna, Novaliches"/>
    <s v="5th District"/>
    <x v="11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971"/>
    <s v="Datamex - College of Saint Adeline, Inc."/>
    <s v="85 East Fairview Park Subdivision, Commonwealth Avenue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VIII"/>
    <n v="482987"/>
    <s v="Affordable Private Education Center, Inc. (APEC Schools)-North Fairview Branch"/>
    <s v="Lot 10 Block 43, Regalado Highway"/>
    <s v="5th District"/>
    <x v="10"/>
    <s v="Private"/>
    <s v="Non-Sectarian 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X"/>
    <n v="360867"/>
    <s v="Leandro Locsin Integrated School"/>
    <s v="Rivera Compound"/>
    <s v="5th District"/>
    <x v="1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1"/>
    <n v="2"/>
    <n v="0"/>
    <n v="2"/>
    <n v="3"/>
    <n v="2"/>
    <n v="1"/>
    <n v="0"/>
    <n v="2"/>
    <n v="1"/>
    <n v="0"/>
    <n v="0"/>
    <n v="5"/>
    <n v="2"/>
    <n v="0"/>
    <n v="0"/>
    <n v="0"/>
    <n v="0"/>
    <m/>
    <m/>
    <m/>
    <m/>
    <m/>
    <m/>
    <n v="0"/>
    <n v="0"/>
    <n v="0"/>
    <n v="3"/>
    <n v="0"/>
    <n v="0"/>
    <n v="1"/>
    <n v="0"/>
    <n v="0"/>
    <n v="0"/>
    <n v="2"/>
    <n v="3"/>
    <n v="0"/>
    <n v="0"/>
    <n v="0"/>
    <n v="0"/>
    <m/>
    <m/>
    <n v="14"/>
    <n v="13"/>
    <n v="27"/>
    <n v="15"/>
    <n v="14"/>
    <n v="29"/>
  </r>
  <r>
    <x v="0"/>
    <s v="Quezon City"/>
    <s v="School District XIX"/>
    <n v="401443"/>
    <s v="ABE International Business College-Commonwealth"/>
    <s v="Block 9, Lot 3 Neopolitan Business Park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s v="Quezon City"/>
    <s v="School District XIX"/>
    <n v="406423"/>
    <s v="AMA Computer Learning Center - Greater Lagro"/>
    <s v="2nd Floor, Bonanza Plaza 2 Bldg., Putol na Daan St., Quirino Hiway, Lagro, Quezon City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"/>
    <n v="340690"/>
    <s v="Sta. Lucia Senior High School"/>
    <s v="A. Mabini Street, Novaliches"/>
    <s v="5th District"/>
    <x v="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0"/>
    <n v="0"/>
    <n v="0"/>
    <n v="0"/>
    <n v="0"/>
    <n v="0"/>
    <n v="1"/>
    <n v="3"/>
    <n v="0"/>
    <n v="0"/>
    <n v="0"/>
    <n v="0"/>
    <m/>
    <m/>
    <m/>
    <m/>
    <m/>
    <m/>
    <n v="0"/>
    <n v="0"/>
    <n v="0"/>
    <n v="0"/>
    <n v="0"/>
    <n v="0"/>
    <n v="0"/>
    <n v="0"/>
    <n v="0"/>
    <n v="0"/>
    <n v="2"/>
    <n v="1"/>
    <n v="0"/>
    <n v="0"/>
    <n v="0"/>
    <n v="0"/>
    <m/>
    <m/>
    <n v="13"/>
    <n v="11"/>
    <n v="24"/>
    <n v="13"/>
    <n v="11"/>
    <n v="24"/>
  </r>
  <r>
    <x v="1"/>
    <s v="Quezon City"/>
    <s v="School District I"/>
    <n v="401453"/>
    <s v="Bestlink College of the Philippines"/>
    <s v="762 Topaz corner Sapphire Street, Millionares Village, San Agustin"/>
    <s v="5th District"/>
    <x v="1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"/>
    <n v="401495"/>
    <s v="National Polytechnic College of Science and Technology-Lagro"/>
    <s v="Blk. 125, Lot 22, Quirino Highway, Lagro, Quezon City"/>
    <s v="5th District"/>
    <x v="2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"/>
    <n v="401500"/>
    <s v="National Polytechnic College of Science and Technology-Novaliches"/>
    <s v="Blk 4 Lot 7 Palm Street, Greenfields 1 Subd., Novaliches, Quezon City"/>
    <s v="5th District"/>
    <x v="3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"/>
    <n v="409925"/>
    <s v="Electron College of Technical Education Corporation"/>
    <s v="CPE Building, Commonwealth Avenue,"/>
    <s v="5th District"/>
    <x v="4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"/>
    <n v="409926"/>
    <s v="Electron College of Technical Education Corporation"/>
    <s v="661 Electron Building, Quirino Highway, Novaliches"/>
    <s v="5th District"/>
    <x v="5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"/>
    <n v="410227"/>
    <s v="NU Fairview Incorporated"/>
    <s v="SM Fairview Complex, Quirino Highway corner Regalado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V"/>
    <n v="410465"/>
    <s v="South East-Asia Institute of Trade and Technology Inc."/>
    <s v="JB Crystal Building Lots 36-38, Quirino Highway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V"/>
    <n v="406537"/>
    <s v="AccessComputer and Technical Colleges (Novaliches, Q.C.) Inc."/>
    <s v="1151 Quirino Hway corner Zabarte Road"/>
    <s v="5th District"/>
    <x v="1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VIII"/>
    <n v="305341"/>
    <s v="San Bartolome HS"/>
    <s v="67 Sinforosa Street, Novaliches"/>
    <s v="5th District"/>
    <x v="6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6"/>
    <n v="38"/>
    <n v="44"/>
    <n v="31"/>
    <n v="38"/>
    <n v="24"/>
    <n v="19"/>
    <n v="0"/>
    <n v="0"/>
    <n v="115"/>
    <n v="127"/>
    <n v="242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15"/>
    <n v="127"/>
    <n v="242"/>
  </r>
  <r>
    <x v="1"/>
    <s v="Quezon City"/>
    <s v="School District VIII"/>
    <n v="406446"/>
    <s v="Colegio de San Bartolome de Novaliches, Inc."/>
    <s v="Quirino Highway corner P. Dela Cruz Street, Novaliches"/>
    <s v="5th District"/>
    <x v="6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VIII"/>
    <n v="407772"/>
    <s v="AIM School for Excellence Inc."/>
    <s v="Block 5 Lot 40 St. James Street, San Pedro Subdivision 7"/>
    <s v="5th District"/>
    <x v="6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VIII"/>
    <n v="482742"/>
    <s v="Angelique Devine Grace School of Quezon City, Inc."/>
    <s v="38 Sta. Veronica Street, Novaliches"/>
    <s v="5th District"/>
    <x v="3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VIII"/>
    <n v="482792"/>
    <s v="Saint Nicholas of Bari School"/>
    <s v="Franco Comp.Holy Cross Road San Bartolome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X"/>
    <n v="305340"/>
    <s v="Novaliches HS"/>
    <s v="Lakandula"/>
    <s v="5th District"/>
    <x v="7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4"/>
    <n v="16"/>
    <n v="16"/>
    <n v="0"/>
    <n v="10"/>
    <n v="10"/>
    <n v="16"/>
    <n v="0"/>
    <n v="0"/>
    <n v="51"/>
    <n v="56"/>
    <n v="107"/>
    <n v="0"/>
    <n v="1"/>
    <n v="5"/>
    <n v="9"/>
    <n v="1"/>
    <n v="0"/>
    <n v="0"/>
    <n v="0"/>
    <n v="0"/>
    <n v="0"/>
    <n v="1"/>
    <n v="0"/>
    <n v="0"/>
    <n v="0"/>
    <n v="0"/>
    <n v="0"/>
    <m/>
    <m/>
    <m/>
    <m/>
    <m/>
    <m/>
    <n v="1"/>
    <n v="6"/>
    <n v="2"/>
    <n v="2"/>
    <n v="0"/>
    <n v="3"/>
    <n v="0"/>
    <n v="0"/>
    <n v="0"/>
    <n v="0"/>
    <n v="0"/>
    <n v="0"/>
    <n v="0"/>
    <n v="0"/>
    <n v="0"/>
    <n v="0"/>
    <m/>
    <m/>
    <n v="10"/>
    <n v="21"/>
    <n v="31"/>
    <n v="61"/>
    <n v="77"/>
    <n v="138"/>
  </r>
  <r>
    <x v="1"/>
    <s v="Quezon City"/>
    <s v="School District IX"/>
    <n v="305342"/>
    <s v="Sta. Lucia HS"/>
    <s v="J.P. Rizal Street, Novaliches"/>
    <s v="5th District"/>
    <x v="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54"/>
    <n v="52"/>
    <n v="72"/>
    <n v="50"/>
    <n v="48"/>
    <n v="64"/>
    <n v="57"/>
    <n v="0"/>
    <n v="0"/>
    <n v="219"/>
    <n v="231"/>
    <n v="45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19"/>
    <n v="231"/>
    <n v="450"/>
  </r>
  <r>
    <x v="1"/>
    <s v="Quezon City"/>
    <s v="School District IX"/>
    <n v="319504"/>
    <s v="Dona Rosario HS"/>
    <s v="P. Urduja Street"/>
    <s v="5th District"/>
    <x v="8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48"/>
    <n v="57"/>
    <n v="50"/>
    <n v="36"/>
    <n v="35"/>
    <n v="38"/>
    <n v="59"/>
    <n v="0"/>
    <n v="0"/>
    <n v="178"/>
    <n v="192"/>
    <n v="37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78"/>
    <n v="192"/>
    <n v="370"/>
  </r>
  <r>
    <x v="1"/>
    <s v="Quezon City"/>
    <s v="School District IX"/>
    <n v="406472"/>
    <s v="Sto. Nino de Novaliches School"/>
    <s v="Buenamar Street"/>
    <s v="5th District"/>
    <x v="8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IX"/>
    <n v="482540"/>
    <s v="St. Patrick School of Novaliches, Inc."/>
    <s v="#16 Jewel St. Forest Hills Subd."/>
    <s v="5th District"/>
    <x v="3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2"/>
    <n v="1"/>
    <n v="1"/>
    <n v="0"/>
    <n v="0"/>
    <n v="0"/>
    <n v="3"/>
    <n v="1"/>
    <n v="4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1"/>
    <n v="5"/>
  </r>
  <r>
    <x v="1"/>
    <s v="Quezon City"/>
    <s v="School District IX"/>
    <n v="482607"/>
    <s v="Bloomridge Integrated School"/>
    <s v="248 Gen. Luis Street"/>
    <s v="5th District"/>
    <x v="8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305336"/>
    <s v="Lagro HS"/>
    <s v="Misa de Gallo St. cor. Ascension Ave., Brgy. Greater Lagro,"/>
    <s v="5th District"/>
    <x v="2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2"/>
    <n v="6"/>
    <n v="6"/>
    <n v="12"/>
    <n v="24"/>
    <n v="11"/>
    <n v="11"/>
    <n v="0"/>
    <n v="0"/>
    <n v="35"/>
    <n v="53"/>
    <n v="88"/>
    <n v="1"/>
    <n v="0"/>
    <n v="0"/>
    <n v="3"/>
    <n v="1"/>
    <n v="2"/>
    <n v="0"/>
    <n v="0"/>
    <n v="0"/>
    <n v="0"/>
    <n v="0"/>
    <n v="0"/>
    <n v="0"/>
    <n v="0"/>
    <n v="0"/>
    <n v="0"/>
    <m/>
    <m/>
    <m/>
    <m/>
    <m/>
    <m/>
    <n v="0"/>
    <n v="0"/>
    <n v="0"/>
    <n v="0"/>
    <n v="2"/>
    <n v="5"/>
    <n v="0"/>
    <n v="0"/>
    <n v="0"/>
    <n v="0"/>
    <n v="0"/>
    <n v="0"/>
    <n v="0"/>
    <n v="0"/>
    <n v="0"/>
    <n v="0"/>
    <m/>
    <m/>
    <n v="4"/>
    <n v="10"/>
    <n v="14"/>
    <n v="39"/>
    <n v="63"/>
    <n v="102"/>
  </r>
  <r>
    <x v="1"/>
    <s v="Quezon City"/>
    <s v="School District X"/>
    <n v="305338"/>
    <s v="Maligaya HS"/>
    <s v="Ilang-Ilang Street"/>
    <s v="5th District"/>
    <x v="9"/>
    <s v="Public"/>
    <s v="DepED Managed"/>
    <s v="School with no Annexes"/>
    <s v="Grade 7-10"/>
    <s v="No"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5"/>
    <n v="19"/>
    <n v="16"/>
    <n v="15"/>
    <n v="17"/>
    <n v="51"/>
    <n v="55"/>
    <n v="0"/>
    <n v="0"/>
    <n v="113"/>
    <n v="113"/>
    <n v="226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13"/>
    <n v="113"/>
    <n v="226"/>
  </r>
  <r>
    <x v="1"/>
    <s v="Quezon City"/>
    <s v="School District X"/>
    <n v="305339"/>
    <s v="North Fairview HS"/>
    <s v="Auburn North Fairview"/>
    <s v="5th District"/>
    <x v="1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3"/>
    <n v="29"/>
    <n v="61"/>
    <n v="59"/>
    <n v="9"/>
    <n v="8"/>
    <n v="0"/>
    <n v="0"/>
    <n v="104"/>
    <n v="105"/>
    <n v="209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04"/>
    <n v="105"/>
    <n v="209"/>
  </r>
  <r>
    <x v="1"/>
    <s v="Quezon City"/>
    <s v="School District X"/>
    <n v="401447"/>
    <s v="AMA Computer College-Farview"/>
    <s v="Blk 61, Lot 28-31, Bristol St. Cor. Regalado Ave., Brgy. North Fairview, Q.C."/>
    <s v="5th District"/>
    <x v="10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06474"/>
    <s v="Divine Grace School"/>
    <s v="Ilang-ilang Street"/>
    <s v="5th District"/>
    <x v="9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06484"/>
    <s v="Our Lady of Fatima University"/>
    <s v="Hilltop Mansion, Lagro, Quezon City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06487"/>
    <s v="School of St. Anthony"/>
    <s v="Lagro QC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06493"/>
    <s v="St. Vincent de Paul Academy of Novaliches, Inc."/>
    <s v="Atrium St., Maligaya Park Subd., Pasong Putik, Nova., QC"/>
    <s v="5th District"/>
    <x v="9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06510"/>
    <s v="Covenant of Grace School"/>
    <s v="#6 Pearl St. East Fairview"/>
    <s v="5th District"/>
    <x v="4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07808"/>
    <s v="Jbest School of Technology and Practical Skills - Lagro, Inc."/>
    <s v="4th Floor Lester Bldg. Km. 22 Quirino Highway, Lagro"/>
    <s v="5th District"/>
    <x v="9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7"/>
    <n v="15"/>
    <n v="17"/>
    <n v="0"/>
    <n v="0"/>
    <n v="3"/>
    <n v="5"/>
    <n v="0"/>
    <n v="0"/>
    <n v="32"/>
    <n v="33"/>
    <n v="0"/>
    <n v="0"/>
    <n v="0"/>
    <n v="0"/>
    <m/>
    <m/>
    <m/>
    <m/>
    <m/>
    <m/>
    <n v="2"/>
    <n v="3"/>
    <n v="2"/>
    <n v="4"/>
    <n v="0"/>
    <n v="0"/>
    <n v="0"/>
    <n v="0"/>
    <n v="0"/>
    <n v="0"/>
    <n v="5"/>
    <n v="8"/>
    <n v="0"/>
    <n v="0"/>
    <n v="0"/>
    <n v="0"/>
    <m/>
    <m/>
    <n v="61"/>
    <n v="87"/>
    <n v="148"/>
    <n v="61"/>
    <n v="87"/>
    <n v="148"/>
  </r>
  <r>
    <x v="1"/>
    <s v="Quezon City"/>
    <s v="School District X"/>
    <n v="410119"/>
    <s v="The Steppingstone Progressivist School Inc."/>
    <s v="25 Cavalier Street, Ea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504"/>
    <s v="St. Mary's School of Novaliches, Inc."/>
    <s v="Olympus Drive, North Olympus Subdivision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521"/>
    <s v="Another Home to Grow Academy Inc.,"/>
    <s v="24 Adrian Street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541"/>
    <s v="St. Mariam Thresia School"/>
    <s v="135 Gen. Luis St., Nagkaisang Nayon, Q,C,"/>
    <s v="5th District"/>
    <x v="1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600"/>
    <s v="Virgen de Guadalupe de Novaliches"/>
    <s v="41 Sampaguita"/>
    <s v="5th District"/>
    <x v="9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611"/>
    <s v="School of St. Maximilian Mary Kolbe, Inc."/>
    <s v="Block 9 Lot 10 Atrium Street, Maligaya Park Subdivision"/>
    <s v="5th District"/>
    <x v="9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612"/>
    <s v="Beulah Land Christian School of Quezon City, Inc."/>
    <s v="Mary town Circle"/>
    <s v="5th District"/>
    <x v="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617"/>
    <s v="St. Joseph School of Fairview, Inc."/>
    <s v="Atherton"/>
    <s v="5th District"/>
    <x v="10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619"/>
    <s v="Atherton School, Inc."/>
    <s v="Blk 64 Ph 8 Atherton St. North Fairview Subdivision"/>
    <s v="5th District"/>
    <x v="10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719"/>
    <s v="Einstein School for Kids"/>
    <s v="Block 68 Lots 30-32, Hermano Mayor St., Lagro Novaliches, Qu"/>
    <s v="5th District"/>
    <x v="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730"/>
    <s v="MSA Whiz Kids Academy, Inc."/>
    <s v="17 Bituin St. Teresa Heights"/>
    <s v="5th District"/>
    <x v="9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"/>
    <n v="482821"/>
    <s v="Discovery House Montessori of Quezon City, Inc."/>
    <s v="59 Adrian Street, North Fairview Park Subdivision"/>
    <s v="5th District"/>
    <x v="10"/>
    <s v="Private"/>
    <s v="Non-Sectarian "/>
    <s v="School with no Annexes"/>
    <s v="Kinder &amp; Grade 1-6"/>
    <s v="No"/>
    <s v="Purely ES"/>
    <n v="4"/>
    <n v="5"/>
    <n v="0"/>
    <n v="0"/>
    <n v="0"/>
    <n v="0"/>
    <n v="0"/>
    <n v="0"/>
    <n v="0"/>
    <n v="1"/>
    <n v="0"/>
    <n v="0"/>
    <n v="0"/>
    <n v="0"/>
    <n v="0"/>
    <n v="0"/>
    <n v="4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6"/>
    <n v="10"/>
  </r>
  <r>
    <x v="1"/>
    <s v="Quezon City"/>
    <s v="School District XI"/>
    <n v="406495"/>
    <s v="Achievers Academy of Q.C. Inc."/>
    <s v="14 Mustang Street, Fairview Park Subdivision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"/>
    <n v="406500"/>
    <s v="Bethel Christian School of Fairview, Inc."/>
    <s v="366 Chestnut Street corner Republic Avenue, West Fairview"/>
    <s v="5th District"/>
    <x v="4"/>
    <s v="Private"/>
    <s v="Non-Sectarian "/>
    <s v="Mother school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"/>
    <n v="406512"/>
    <s v="Fairview Baptist Academy"/>
    <s v="B2 L2 Windsor cor. Peacock Sts.,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"/>
    <n v="406570"/>
    <s v="(HIS) Hope Integrated School, Inc"/>
    <s v="#2 Iris St., Corner Dahlia Avenue West Fairview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"/>
    <n v="482522"/>
    <s v="Falcon School, Inc."/>
    <s v="Dahlia Ave. Fairview Park Subd., West Fairview, Quezon City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"/>
    <n v="482620"/>
    <s v="Brain Integrated School, Inc."/>
    <s v="#6 Biscayne St.,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"/>
    <n v="406018"/>
    <s v="Abraham Dumlao Colleges of the Phils."/>
    <s v="12 Salvia St., Saint Dominic 12 Subd., Brgy. Kaligayahan, District IV, Novaliches,"/>
    <s v="5th District"/>
    <x v="8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"/>
    <n v="410229"/>
    <s v="Jordan Woods Academy, Inc."/>
    <s v="Block 7 Lot 34 Don Mariano Marcos Avenue, Jordan Plains, Novaliches"/>
    <s v="5th District"/>
    <x v="1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136520"/>
    <s v="Bagbag Elementary School"/>
    <s v="RICHLAND 5 SUBDIVISION BARANGAY BAGBAG QUEZON CITY"/>
    <s v="5th District"/>
    <x v="5"/>
    <s v="Public"/>
    <s v="DepED Managed"/>
    <s v="School with no Annexes"/>
    <s v="Kinder &amp; Grade 1-6"/>
    <s v="No"/>
    <s v="Purely ES"/>
    <n v="0"/>
    <n v="0"/>
    <n v="0"/>
    <n v="0"/>
    <n v="4"/>
    <n v="5"/>
    <n v="1"/>
    <n v="3"/>
    <n v="3"/>
    <n v="1"/>
    <n v="1"/>
    <n v="0"/>
    <n v="6"/>
    <n v="14"/>
    <n v="0"/>
    <n v="0"/>
    <n v="15"/>
    <n v="23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5"/>
    <n v="23"/>
    <n v="38"/>
  </r>
  <r>
    <x v="1"/>
    <s v="Quezon City"/>
    <s v="School District XVI"/>
    <n v="136521"/>
    <s v="Goodwill ES"/>
    <s v="-Noah St. Goodwill Homes II, Bagbag"/>
    <s v="5th District"/>
    <x v="5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"/>
    <n v="1"/>
    <n v="2"/>
  </r>
  <r>
    <x v="1"/>
    <s v="Quezon City"/>
    <s v="School District XVI"/>
    <n v="136523"/>
    <s v="Odelco Elementary School"/>
    <s v="Orange Street, Odelco Subdivision, Novaliches"/>
    <s v="5th District"/>
    <x v="6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2"/>
    <n v="1"/>
    <n v="0"/>
    <n v="0"/>
    <n v="4"/>
    <n v="13"/>
    <n v="0"/>
    <n v="0"/>
    <n v="6"/>
    <n v="14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"/>
    <n v="14"/>
    <n v="20"/>
  </r>
  <r>
    <x v="1"/>
    <s v="Quezon City"/>
    <s v="School District XVI"/>
    <n v="136525"/>
    <s v="San Bartolome ES"/>
    <s v="Quirino Highway"/>
    <s v="5th District"/>
    <x v="6"/>
    <s v="Public"/>
    <s v="DepED Managed"/>
    <s v="School with no Annexes"/>
    <s v="Kinder &amp; Grade 1-6"/>
    <s v="No"/>
    <s v="Purely ES"/>
    <n v="0"/>
    <n v="0"/>
    <n v="0"/>
    <n v="1"/>
    <n v="0"/>
    <n v="0"/>
    <n v="0"/>
    <n v="1"/>
    <n v="0"/>
    <n v="0"/>
    <n v="2"/>
    <n v="1"/>
    <n v="2"/>
    <n v="6"/>
    <n v="0"/>
    <n v="0"/>
    <n v="4"/>
    <n v="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9"/>
    <n v="13"/>
  </r>
  <r>
    <x v="1"/>
    <s v="Quezon City"/>
    <s v="School District XVI"/>
    <n v="406533"/>
    <s v="AccessComputer &amp; Technical Colleges (Lagro, Quirino Q.C.) Inc."/>
    <s v="Brgy Great Lagro"/>
    <s v="5th District"/>
    <x v="2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408500"/>
    <s v="Sto. Niño Special Education Center Foundation,Inc"/>
    <s v="20 Mamerto Cruz St., Cruzville Subd. Novaliches"/>
    <s v="5th District"/>
    <x v="1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482834"/>
    <s v="Escuela De Corazon of Quezon City, Inc."/>
    <s v="Block 2, Lot 6 Magsaysay Avenue, Doña Faustina Village, Novaliches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482835"/>
    <s v="Little Stephanie Learning School, Inc."/>
    <s v="#111 P. Dela Cruz St.,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482916"/>
    <s v="John Xanderian Learning Center, Inc."/>
    <s v="Block 2 Lot 15 Santiago Subdivision, Sta. Monica"/>
    <s v="5th District"/>
    <x v="8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482929"/>
    <s v="Our Lady of the Angels Seminary-College, Inc."/>
    <s v="Seminary Road, Novaliches"/>
    <s v="5th District"/>
    <x v="5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"/>
    <n v="482941"/>
    <s v="Little Anak Learning School, Inc."/>
    <s v="9 Silver St., Rockville Subdivision"/>
    <s v="5th District"/>
    <x v="6"/>
    <s v="Private"/>
    <s v="Non-Sectarian "/>
    <s v="School with no Annexes"/>
    <s v="Kinder, Grade 1-6, Grade 7-10"/>
    <s v="No"/>
    <s v="ES and JHS 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136527"/>
    <s v="Dona Rosario Elementary School"/>
    <s v="Panday Pira Street"/>
    <s v="5th District"/>
    <x v="8"/>
    <s v="Public"/>
    <s v="DepED Managed"/>
    <s v="School with no Annexes"/>
    <s v="Kinder &amp; Grade 1-6"/>
    <s v="No"/>
    <s v="Purely ES"/>
    <n v="2"/>
    <n v="1"/>
    <n v="0"/>
    <n v="0"/>
    <n v="1"/>
    <n v="0"/>
    <n v="0"/>
    <n v="0"/>
    <n v="0"/>
    <n v="0"/>
    <n v="2"/>
    <n v="0"/>
    <n v="0"/>
    <n v="0"/>
    <n v="0"/>
    <n v="0"/>
    <n v="5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5"/>
    <n v="1"/>
    <n v="6"/>
  </r>
  <r>
    <x v="1"/>
    <s v="Quezon City"/>
    <s v="School District XVII"/>
    <n v="136528"/>
    <s v="Rosa L. Susano - Novaliches ES"/>
    <s v="Gulod"/>
    <s v="5th District"/>
    <x v="3"/>
    <s v="Public"/>
    <s v="DepED Managed"/>
    <s v="School with no Annexes"/>
    <s v="Kinder &amp; Grade 1-6"/>
    <s v="No"/>
    <s v="Purely ES"/>
    <n v="6"/>
    <n v="6"/>
    <n v="24"/>
    <n v="12"/>
    <n v="14"/>
    <n v="12"/>
    <n v="44"/>
    <n v="38"/>
    <n v="66"/>
    <n v="54"/>
    <n v="60"/>
    <n v="71"/>
    <n v="117"/>
    <n v="102"/>
    <n v="3"/>
    <n v="4"/>
    <n v="334"/>
    <n v="299"/>
    <n v="6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34"/>
    <n v="299"/>
    <n v="633"/>
  </r>
  <r>
    <x v="1"/>
    <s v="Quezon City"/>
    <s v="School District XVII"/>
    <n v="136529"/>
    <s v="San Gabriel ES"/>
    <s v="A. Bonifacio"/>
    <s v="5th District"/>
    <x v="0"/>
    <s v="Public"/>
    <s v="DepED Managed"/>
    <s v="School with no Annexes"/>
    <s v="Kinder &amp; Grade 1-6"/>
    <s v="No"/>
    <s v="Purely ES"/>
    <n v="0"/>
    <n v="1"/>
    <n v="2"/>
    <n v="1"/>
    <n v="10"/>
    <n v="0"/>
    <n v="9"/>
    <n v="6"/>
    <n v="2"/>
    <n v="3"/>
    <n v="18"/>
    <n v="18"/>
    <n v="4"/>
    <n v="9"/>
    <n v="0"/>
    <n v="0"/>
    <n v="45"/>
    <n v="38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5"/>
    <n v="38"/>
    <n v="83"/>
  </r>
  <r>
    <x v="1"/>
    <s v="Quezon City"/>
    <s v="School District XVII"/>
    <n v="136530"/>
    <s v="Villa Verde Elementary School"/>
    <s v="Villa Verde Avenue, Villa Verde Homes"/>
    <s v="5th District"/>
    <x v="12"/>
    <s v="Public"/>
    <s v="DepED Managed"/>
    <s v="School with no Annexes"/>
    <s v="Kinder &amp; Grade 1-6"/>
    <s v="No"/>
    <s v="Purely ES"/>
    <n v="0"/>
    <n v="0"/>
    <n v="1"/>
    <n v="1"/>
    <n v="6"/>
    <n v="1"/>
    <n v="4"/>
    <n v="0"/>
    <n v="3"/>
    <n v="0"/>
    <n v="0"/>
    <n v="0"/>
    <n v="2"/>
    <n v="2"/>
    <n v="0"/>
    <n v="0"/>
    <n v="16"/>
    <n v="4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6"/>
    <n v="4"/>
    <n v="20"/>
  </r>
  <r>
    <x v="1"/>
    <s v="Quezon City"/>
    <s v="School District XVII"/>
    <n v="136538"/>
    <s v="San Agustin ES"/>
    <s v="Heavenly Dr. St. San Agustin,  Novaliches, Quezon City"/>
    <s v="5th District"/>
    <x v="7"/>
    <s v="Public"/>
    <s v="DepED Managed"/>
    <s v="School with no Annexes"/>
    <s v="Kinder &amp; Grade 1-6"/>
    <s v="No"/>
    <s v="Purely ES"/>
    <n v="1"/>
    <n v="3"/>
    <n v="3"/>
    <n v="5"/>
    <n v="3"/>
    <n v="1"/>
    <n v="2"/>
    <n v="4"/>
    <n v="8"/>
    <n v="7"/>
    <n v="17"/>
    <n v="17"/>
    <n v="16"/>
    <n v="20"/>
    <n v="1"/>
    <n v="0"/>
    <n v="51"/>
    <n v="57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51"/>
    <n v="57"/>
    <n v="108"/>
  </r>
  <r>
    <x v="1"/>
    <s v="Quezon City"/>
    <s v="School District XVII"/>
    <n v="340697"/>
    <s v="Jose Maria Panganiban Senior High School"/>
    <s v="Gulod Novaliches, Quezon City"/>
    <s v="5th District"/>
    <x v="3"/>
    <s v="Public"/>
    <s v="DepED Managed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09329"/>
    <s v="Capstone Highest Achiever Learning School Inc."/>
    <s v="Block 10 Lot 2 Queens Road corner Northwind Avenue Subdivision, Novaliches"/>
    <s v="5th District"/>
    <x v="1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09731"/>
    <s v="St. Anthony School of Sta. Lucia, Inc."/>
    <s v="33 F. Balagtas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09737"/>
    <s v="Trinity Polytechnic College, Inc."/>
    <s v="892 Alfina Building, Quirino Highway"/>
    <s v="5th District"/>
    <x v="3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836"/>
    <s v="John Mark Christian School of Nova., Inc."/>
    <s v="#29 Petronia St., Buenamar Subd. Novaliches Q.C"/>
    <s v="5th District"/>
    <x v="8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887"/>
    <s v="Brother Sun Sister Moon Academy, Inc."/>
    <s v="001 J.P. Rizal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889"/>
    <s v="Book of Life Christian Academy Novaliches, Inc."/>
    <s v="64 A. Bonifacio corner P. Burgos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890"/>
    <s v="School of the Corpus Christi (Quezon City), Inc."/>
    <s v="L5B2, Atis Cor. Avocado Rds.,  Phase 1-A, Palmera,"/>
    <s v="5th District"/>
    <x v="1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897"/>
    <s v="Aim Scholastic Informative Academy, Inc."/>
    <s v="Block 1 Lot 14, Santiago Subdivision, Novaliches"/>
    <s v="5th District"/>
    <x v="1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909"/>
    <s v="School of Thoughts and Principles, Inc."/>
    <s v="7 P. Burgos Street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963"/>
    <s v="St. Alexis Community School of QC., Inc"/>
    <s v="#27 Diego Silang St., Rivera Ville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978"/>
    <s v="Kingsville Learning Center, Inc."/>
    <s v="6 Diego Silang St., Sta Lucia, Nova.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979"/>
    <s v="Mount Charmel School For Achievers, Inc."/>
    <s v="#789 Quirino Highway, Gulod, Nova"/>
    <s v="5th District"/>
    <x v="3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"/>
    <n v="482980"/>
    <s v="Divine Trinity Learning Academy, Inc."/>
    <s v="28 Jewel Street, Forest Hills Subdivision, Novaliches"/>
    <s v="5th District"/>
    <x v="3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136531"/>
    <s v="Damong Maliit ES"/>
    <s v="-18 Trinidad Avenue, Nagkaisang Nayon"/>
    <s v="5th District"/>
    <x v="11"/>
    <s v="Public"/>
    <s v="DepED Managed"/>
    <s v="School with no Annexes"/>
    <s v="Kinder &amp; Grade 1-6"/>
    <s v="No"/>
    <s v="Purely ES"/>
    <n v="0"/>
    <n v="0"/>
    <n v="0"/>
    <n v="0"/>
    <n v="0"/>
    <n v="0"/>
    <n v="1"/>
    <n v="1"/>
    <n v="0"/>
    <n v="0"/>
    <n v="0"/>
    <n v="0"/>
    <n v="1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"/>
    <n v="1"/>
    <n v="3"/>
  </r>
  <r>
    <x v="1"/>
    <s v="Quezon City"/>
    <s v="School District XVIII"/>
    <n v="136532"/>
    <s v="Delfin M. Geraldez Memorial ES"/>
    <s v="12 Salvia St., Kaligayahan"/>
    <s v="5th District"/>
    <x v="1"/>
    <s v="Public"/>
    <s v="DepED Managed"/>
    <s v="School with no Annexes"/>
    <s v="Kinder &amp; Grade 1-6"/>
    <s v="No"/>
    <s v="Purely ES"/>
    <n v="1"/>
    <n v="1"/>
    <n v="1"/>
    <n v="1"/>
    <n v="5"/>
    <n v="5"/>
    <n v="4"/>
    <n v="2"/>
    <n v="2"/>
    <n v="1"/>
    <n v="4"/>
    <n v="4"/>
    <n v="4"/>
    <n v="3"/>
    <n v="0"/>
    <n v="0"/>
    <n v="21"/>
    <n v="17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1"/>
    <n v="17"/>
    <n v="38"/>
  </r>
  <r>
    <x v="1"/>
    <s v="Quezon City"/>
    <s v="School District XVIII"/>
    <n v="136533"/>
    <s v="Kaligayahan ES"/>
    <s v="Rivera Compound"/>
    <s v="5th District"/>
    <x v="1"/>
    <s v="Public"/>
    <s v="DepED Managed"/>
    <s v="School with no Annexes"/>
    <s v="Kinder &amp; Grade 1-6"/>
    <s v="No"/>
    <s v="Purely ES"/>
    <n v="0"/>
    <n v="0"/>
    <n v="0"/>
    <n v="0"/>
    <n v="0"/>
    <n v="0"/>
    <n v="1"/>
    <n v="1"/>
    <n v="1"/>
    <n v="1"/>
    <n v="4"/>
    <n v="0"/>
    <n v="2"/>
    <n v="4"/>
    <n v="0"/>
    <n v="0"/>
    <n v="8"/>
    <n v="6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8"/>
    <n v="6"/>
    <n v="14"/>
  </r>
  <r>
    <x v="1"/>
    <s v="Quezon City"/>
    <s v="School District XVIII"/>
    <n v="136534"/>
    <s v="Lagro ES"/>
    <s v="-Ascension Ave., Brgy. Greater Lagro"/>
    <s v="5th District"/>
    <x v="2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0"/>
    <n v="0"/>
    <n v="1"/>
    <n v="0"/>
    <n v="1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"/>
    <n v="0"/>
    <n v="2"/>
  </r>
  <r>
    <x v="1"/>
    <s v="Quezon City"/>
    <s v="School District XVIII"/>
    <n v="136535"/>
    <s v="Maligaya ES"/>
    <s v="Ilang-Ilang Pasong Putik Proper QC"/>
    <s v="5th District"/>
    <x v="9"/>
    <s v="Public"/>
    <s v="DepED Managed"/>
    <s v="School with no Annexes"/>
    <s v="Kinder &amp; Grade 1-6"/>
    <s v="No"/>
    <s v="Purely ES"/>
    <n v="0"/>
    <n v="0"/>
    <n v="1"/>
    <n v="1"/>
    <n v="11"/>
    <n v="5"/>
    <n v="16"/>
    <n v="18"/>
    <n v="15"/>
    <n v="14"/>
    <n v="17"/>
    <n v="11"/>
    <n v="18"/>
    <n v="21"/>
    <n v="0"/>
    <n v="0"/>
    <n v="78"/>
    <n v="70"/>
    <n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78"/>
    <n v="70"/>
    <n v="148"/>
  </r>
  <r>
    <x v="1"/>
    <s v="Quezon City"/>
    <s v="School District XVIII"/>
    <n v="136536"/>
    <s v="Nagkaisang Nayon ES"/>
    <s v="-Mayon St.,Brgy Nagkaisang Nayon Q. C."/>
    <s v="5th District"/>
    <x v="11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3"/>
    <n v="7"/>
    <n v="0"/>
    <n v="0"/>
    <n v="3"/>
    <n v="7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7"/>
    <n v="10"/>
  </r>
  <r>
    <x v="1"/>
    <s v="Quezon City"/>
    <s v="School District XVIII"/>
    <n v="136537"/>
    <s v="North Fairview ES"/>
    <s v="Avon St.,Cor. Astor"/>
    <s v="5th District"/>
    <x v="10"/>
    <s v="Public"/>
    <s v="DepED Managed"/>
    <s v="School with no Annexes"/>
    <s v="Kinder &amp; Grade 1-6"/>
    <s v="No"/>
    <s v="Purely ES"/>
    <n v="2"/>
    <n v="1"/>
    <n v="0"/>
    <n v="0"/>
    <n v="0"/>
    <n v="0"/>
    <n v="7"/>
    <n v="1"/>
    <n v="2"/>
    <n v="1"/>
    <n v="2"/>
    <n v="4"/>
    <n v="10"/>
    <n v="10"/>
    <n v="0"/>
    <n v="0"/>
    <n v="23"/>
    <n v="17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3"/>
    <n v="17"/>
    <n v="40"/>
  </r>
  <r>
    <x v="1"/>
    <s v="Quezon City"/>
    <s v="School District XVIII"/>
    <n v="136543"/>
    <s v="Fairview ES"/>
    <s v="Fairlane St. Fairview Quezon City"/>
    <s v="5th District"/>
    <x v="4"/>
    <s v="Public"/>
    <s v="DepED Managed"/>
    <s v="School with no Annexes"/>
    <s v="Kinder &amp; Grade 1-6"/>
    <s v="No"/>
    <s v="Purely ES"/>
    <n v="2"/>
    <n v="1"/>
    <n v="1"/>
    <n v="4"/>
    <n v="1"/>
    <n v="1"/>
    <n v="10"/>
    <n v="10"/>
    <n v="4"/>
    <n v="1"/>
    <n v="5"/>
    <n v="2"/>
    <n v="4"/>
    <n v="6"/>
    <n v="0"/>
    <n v="0"/>
    <n v="27"/>
    <n v="25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7"/>
    <n v="25"/>
    <n v="52"/>
  </r>
  <r>
    <x v="1"/>
    <s v="Quezon City"/>
    <s v="School District XVIII"/>
    <n v="222501"/>
    <s v="West Fairview Elementary School"/>
    <s v="Austin St. West Fairview"/>
    <s v="5th District"/>
    <x v="13"/>
    <s v="Public"/>
    <s v="DepED Managed"/>
    <s v="School with no Annexes"/>
    <s v="Kinder &amp; Grade 1-6"/>
    <s v="No"/>
    <s v="Purely ES"/>
    <n v="2"/>
    <n v="3"/>
    <n v="0"/>
    <n v="1"/>
    <n v="0"/>
    <n v="1"/>
    <n v="0"/>
    <n v="0"/>
    <n v="1"/>
    <n v="0"/>
    <n v="0"/>
    <n v="0"/>
    <n v="1"/>
    <n v="6"/>
    <n v="0"/>
    <n v="0"/>
    <n v="4"/>
    <n v="1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11"/>
    <n v="15"/>
  </r>
  <r>
    <x v="1"/>
    <s v="Quezon City"/>
    <s v="School District XVIII"/>
    <n v="305635"/>
    <s v="West Fairview High School"/>
    <s v="Austin Street, Fairview Park"/>
    <s v="5th District"/>
    <x v="4"/>
    <s v="Public"/>
    <s v="DepED Managed"/>
    <s v="School with no Annexes"/>
    <s v="Grade 7-10"/>
    <s v="No"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"/>
    <n v="3"/>
    <n v="9"/>
    <n v="0"/>
    <n v="0"/>
    <n v="0"/>
    <n v="0"/>
    <n v="6"/>
    <n v="11"/>
    <n v="17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"/>
    <n v="11"/>
    <n v="17"/>
  </r>
  <r>
    <x v="1"/>
    <s v="Quezon City"/>
    <s v="School District XVIII"/>
    <n v="406492"/>
    <s v="St. Theresa's School of Novaliches, Inc."/>
    <s v="7 KIngfisher Street, Zabarte Subdivision, Novaliches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8390"/>
    <s v="Active Thinkers Child Development, Inc."/>
    <s v="43 Chestnut Street, We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8616"/>
    <s v="JLM  Creative Learner's Home, Inc."/>
    <s v="The Redwoods Condominium, Quirino Highway corner Regalado Avenue, Novaliches"/>
    <s v="5th District"/>
    <x v="9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8783"/>
    <s v="The Growing Place Learning Center, Inc."/>
    <s v="12 Fiat Street, Fairview"/>
    <s v="5th District"/>
    <x v="4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8809"/>
    <s v="Jone Paul Christian School, Inc."/>
    <s v="313 Sitio Urlina Republic Ave., West Fairview"/>
    <s v="5th District"/>
    <x v="4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8851"/>
    <s v="Integrated Innovation and Hospitality Colleges, Inc."/>
    <s v="C. I. Plaza Building, Zabarte Road, Novaliches"/>
    <s v="5th District"/>
    <x v="1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9734"/>
    <s v="Lincoln School of Arts and Languages Inc."/>
    <s v="Lot 2 &amp; 4, Block 229, Mindanao Avenue, Extension, Neopolitan Subdivision"/>
    <s v="5th District"/>
    <x v="9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09888"/>
    <s v="Johnryn Learning School of Quezon City"/>
    <s v="Block 213 Lot 21 Yuan Street, Phase 8 North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701"/>
    <s v="Upstreet Kids Schoolhouse"/>
    <s v="13 Pontiac Street, Fairview Park"/>
    <s v="5th District"/>
    <x v="4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709"/>
    <s v="Operation Brotherhood Montessori Center"/>
    <s v="Napoli St, Neopolitan IV, Brittany Subd."/>
    <s v="5th District"/>
    <x v="6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716"/>
    <s v="The Raya School, Inc."/>
    <s v="Lot 3 Block 8 Sorrento Street, Neopolitan Business Park, Novaliches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885"/>
    <s v="LSA Evergreen Christian Academy"/>
    <s v="#17 Upper Narra St., Sapamanai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891"/>
    <s v="The Fountain of Life School of Quezon City, Inc."/>
    <s v="433 Drachma Street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906"/>
    <s v="Montessori Education Center of Asia Pacific, Inc."/>
    <s v="#6 Torquoise St., Ea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971"/>
    <s v="Datamex - College of Saint Adeline, Inc."/>
    <s v="85 East Fairview Park Subdivision, Commonwealth Avenue"/>
    <s v="5th District"/>
    <x v="4"/>
    <s v="Private"/>
    <s v="Non-Sectarian "/>
    <s v="School with no Annexes"/>
    <s v="Kinder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VIII"/>
    <n v="482987"/>
    <s v="Affordable Private Education Center, Inc. (APEC Schools)-North Fairview Branch"/>
    <s v="Lot 10 Block 43, Regalado Highway"/>
    <s v="5th District"/>
    <x v="10"/>
    <s v="Private"/>
    <s v="Non-Sectarian 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X"/>
    <n v="360867"/>
    <s v="Leandro Locsin Integrated School"/>
    <s v="Rivera Compound"/>
    <s v="5th District"/>
    <x v="1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2"/>
    <n v="2"/>
  </r>
  <r>
    <x v="1"/>
    <s v="Quezon City"/>
    <s v="School District XIX"/>
    <n v="401443"/>
    <s v="ABE International Business College-Commonwealth"/>
    <s v="Block 9, Lot 3 Neopolitan Business Park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1"/>
    <s v="Quezon City"/>
    <s v="School District XIX"/>
    <n v="406423"/>
    <s v="AMA Computer Learning Center - Greater Lagro"/>
    <s v="2nd Floor, Bonanza Plaza 2 Bldg., Putol na Daan St., Quirino Hiway, Lagro, Quezon City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"/>
    <n v="340690"/>
    <s v="Sta. Lucia Senior High School"/>
    <s v="A. Mabini Street, Novaliches"/>
    <s v="5th District"/>
    <x v="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6"/>
    <n v="2"/>
    <n v="2"/>
    <n v="0"/>
    <n v="0"/>
    <n v="0"/>
    <n v="0"/>
    <n v="0"/>
    <n v="0"/>
    <n v="6"/>
    <n v="0"/>
    <n v="0"/>
    <n v="0"/>
    <n v="0"/>
    <n v="0"/>
    <m/>
    <m/>
    <m/>
    <m/>
    <m/>
    <m/>
    <n v="0"/>
    <n v="4"/>
    <n v="7"/>
    <n v="3"/>
    <n v="0"/>
    <n v="0"/>
    <n v="0"/>
    <n v="0"/>
    <n v="0"/>
    <n v="0"/>
    <n v="3"/>
    <n v="6"/>
    <n v="0"/>
    <n v="0"/>
    <n v="0"/>
    <n v="0"/>
    <m/>
    <m/>
    <n v="19"/>
    <n v="21"/>
    <n v="40"/>
    <n v="19"/>
    <n v="21"/>
    <n v="40"/>
  </r>
  <r>
    <x v="2"/>
    <s v="Quezon City"/>
    <s v="School District I"/>
    <n v="401453"/>
    <s v="Bestlink College of the Philippines"/>
    <s v="762 Topaz corner Sapphire Street, Millionares Village, San Agustin"/>
    <s v="5th District"/>
    <x v="1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1"/>
    <n v="1"/>
    <n v="0"/>
    <n v="1"/>
    <n v="1"/>
  </r>
  <r>
    <x v="2"/>
    <s v="Quezon City"/>
    <s v="School District I"/>
    <n v="401486"/>
    <s v="Integrated Innovation and Hospitality Colleges, Inc."/>
    <s v="Buenamar Street"/>
    <s v="5th District"/>
    <x v="8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0"/>
    <n v="2"/>
    <n v="0"/>
    <n v="0"/>
    <n v="3"/>
    <n v="8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4"/>
    <n v="13"/>
    <n v="17"/>
    <n v="4"/>
    <n v="13"/>
    <n v="17"/>
  </r>
  <r>
    <x v="2"/>
    <s v="Quezon City"/>
    <s v="School District I"/>
    <n v="401495"/>
    <s v="National Polytechnic College of Science and Technology-Lagro"/>
    <s v="Blk. 125, Lot 22, Quirino Highway, Lagro, Quezon City"/>
    <s v="5th District"/>
    <x v="2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"/>
    <n v="401500"/>
    <s v="National Polytechnic College of Science and Technology-Novaliches"/>
    <s v="Blk 4 Lot 7 Palm Street, Greenfields 1 Subd., Novaliches, Quezon City"/>
    <s v="5th District"/>
    <x v="3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"/>
    <n v="409925"/>
    <s v="Electron College of Technical Education Corporation"/>
    <s v="CPE Building, Commonwealth Avenue,"/>
    <s v="5th District"/>
    <x v="4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"/>
    <n v="2"/>
    <n v="3"/>
    <n v="1"/>
    <n v="2"/>
    <n v="3"/>
  </r>
  <r>
    <x v="2"/>
    <s v="Quezon City"/>
    <s v="School District I"/>
    <n v="409926"/>
    <s v="Electron College of Technical Education Corporation"/>
    <s v="661 Electron Building, Quirino Highway, Novaliches"/>
    <s v="5th District"/>
    <x v="5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5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9"/>
    <n v="5"/>
    <n v="14"/>
    <n v="9"/>
    <n v="5"/>
    <n v="14"/>
  </r>
  <r>
    <x v="2"/>
    <s v="Quezon City"/>
    <s v="School District I"/>
    <n v="410227"/>
    <s v="NU Fairview Incorporated"/>
    <s v="SM Fairview Complex, Quirino Highway corner Regalado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V"/>
    <n v="410465"/>
    <s v="South East-Asia Institute of Trade and Technology Inc."/>
    <s v="JB Crystal Building Lots 36-38, Quirino Highway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0"/>
    <n v="2"/>
    <n v="0"/>
    <n v="0"/>
    <n v="2"/>
    <n v="2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4"/>
    <n v="9"/>
    <n v="13"/>
    <n v="4"/>
    <n v="9"/>
    <n v="13"/>
  </r>
  <r>
    <x v="2"/>
    <s v="Quezon City"/>
    <s v="School District V"/>
    <n v="406537"/>
    <s v="AccessComputer and Technical Colleges (Novaliches, Q.C.) Inc."/>
    <s v="1151 Quirino Hway corner Zabarte Road"/>
    <s v="5th District"/>
    <x v="1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VIII"/>
    <n v="305341"/>
    <s v="San Bartolome HS"/>
    <s v="67 Sinforosa Street, Novaliches"/>
    <s v="5th District"/>
    <x v="6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8"/>
    <n v="15"/>
    <n v="3"/>
    <n v="3"/>
    <n v="3"/>
    <n v="13"/>
    <n v="0"/>
    <n v="0"/>
    <n v="22"/>
    <n v="32"/>
    <n v="54"/>
    <n v="0"/>
    <n v="0"/>
    <n v="0"/>
    <n v="0"/>
    <n v="0"/>
    <n v="0"/>
    <n v="0"/>
    <n v="0"/>
    <n v="0"/>
    <n v="0"/>
    <n v="2"/>
    <n v="1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2"/>
    <n v="1"/>
    <n v="3"/>
    <n v="24"/>
    <n v="33"/>
    <n v="57"/>
  </r>
  <r>
    <x v="2"/>
    <s v="Quezon City"/>
    <s v="School District VIII"/>
    <n v="406446"/>
    <s v="Colegio de San Bartolome de Novaliches, Inc."/>
    <s v="Quirino Highway corner P. Dela Cruz Street, Novaliches"/>
    <s v="5th District"/>
    <x v="6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"/>
    <n v="2"/>
    <n v="3"/>
    <n v="1"/>
    <n v="2"/>
    <n v="3"/>
  </r>
  <r>
    <x v="2"/>
    <s v="Quezon City"/>
    <s v="School District VIII"/>
    <n v="407772"/>
    <s v="AIM School for Excellence Inc."/>
    <s v="Block 5 Lot 40 St. James Street, San Pedro Subdivision 7"/>
    <s v="5th District"/>
    <x v="6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VIII"/>
    <n v="482742"/>
    <s v="Angelique Devine Grace School of Quezon City, Inc."/>
    <s v="38 Sta. Veronica Street, Novaliches"/>
    <s v="5th District"/>
    <x v="3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VIII"/>
    <n v="482792"/>
    <s v="Saint Nicholas of Bari School"/>
    <s v="Franco Comp.Holy Cross Road San Bartolome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X"/>
    <n v="305340"/>
    <s v="Novaliches HS"/>
    <s v="Lakandula"/>
    <s v="5th District"/>
    <x v="7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9"/>
    <n v="22"/>
    <n v="25"/>
    <n v="25"/>
    <n v="39"/>
    <n v="34"/>
    <n v="33"/>
    <n v="0"/>
    <n v="0"/>
    <n v="101"/>
    <n v="116"/>
    <n v="217"/>
    <n v="1"/>
    <n v="2"/>
    <n v="0"/>
    <n v="0"/>
    <n v="0"/>
    <n v="0"/>
    <n v="0"/>
    <n v="0"/>
    <n v="0"/>
    <n v="0"/>
    <n v="1"/>
    <n v="0"/>
    <n v="0"/>
    <n v="0"/>
    <n v="0"/>
    <n v="0"/>
    <m/>
    <m/>
    <m/>
    <m/>
    <m/>
    <m/>
    <n v="0"/>
    <n v="3"/>
    <n v="2"/>
    <n v="7"/>
    <n v="1"/>
    <n v="1"/>
    <n v="0"/>
    <n v="0"/>
    <n v="0"/>
    <n v="0"/>
    <n v="0"/>
    <n v="0"/>
    <n v="0"/>
    <n v="0"/>
    <n v="0"/>
    <n v="0"/>
    <m/>
    <m/>
    <n v="5"/>
    <n v="13"/>
    <n v="18"/>
    <n v="106"/>
    <n v="129"/>
    <n v="235"/>
  </r>
  <r>
    <x v="2"/>
    <s v="Quezon City"/>
    <s v="School District IX"/>
    <n v="305342"/>
    <s v="Sta. Lucia HS"/>
    <s v="J.P. Rizal Street, Novaliches"/>
    <s v="5th District"/>
    <x v="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4"/>
    <n v="25"/>
    <n v="39"/>
    <n v="33"/>
    <n v="47"/>
    <n v="42"/>
    <n v="30"/>
    <n v="0"/>
    <n v="0"/>
    <n v="109"/>
    <n v="130"/>
    <n v="239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09"/>
    <n v="130"/>
    <n v="239"/>
  </r>
  <r>
    <x v="2"/>
    <s v="Quezon City"/>
    <s v="School District IX"/>
    <n v="319504"/>
    <s v="Dona Rosario HS"/>
    <s v="P. Urduja Street"/>
    <s v="5th District"/>
    <x v="8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0"/>
    <n v="4"/>
    <n v="8"/>
    <n v="25"/>
    <n v="37"/>
    <n v="27"/>
    <n v="21"/>
    <n v="0"/>
    <n v="0"/>
    <n v="65"/>
    <n v="76"/>
    <n v="141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5"/>
    <n v="76"/>
    <n v="141"/>
  </r>
  <r>
    <x v="2"/>
    <s v="Quezon City"/>
    <s v="School District IX"/>
    <n v="406472"/>
    <s v="Sto. Nino de Novaliches School"/>
    <s v="Buenamar Street"/>
    <s v="5th District"/>
    <x v="8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X"/>
    <n v="482540"/>
    <s v="St. Patrick School of Novaliches, Inc."/>
    <s v="#16 Jewel St. Forest Hills Subd."/>
    <s v="5th District"/>
    <x v="3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IX"/>
    <n v="482607"/>
    <s v="Bloomridge Integrated School"/>
    <s v="248 Gen. Luis Street"/>
    <s v="5th District"/>
    <x v="8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305336"/>
    <s v="Lagro HS"/>
    <s v="Misa de Gallo St. cor. Ascension Ave., Brgy. Greater Lagro,"/>
    <s v="5th District"/>
    <x v="2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4"/>
    <n v="7"/>
    <n v="1"/>
    <n v="3"/>
    <n v="2"/>
    <n v="5"/>
    <n v="0"/>
    <n v="0"/>
    <n v="12"/>
    <n v="17"/>
    <n v="29"/>
    <n v="2"/>
    <n v="9"/>
    <n v="7"/>
    <n v="7"/>
    <n v="3"/>
    <n v="5"/>
    <n v="0"/>
    <n v="0"/>
    <n v="0"/>
    <n v="0"/>
    <n v="2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4"/>
    <n v="21"/>
    <n v="35"/>
    <n v="26"/>
    <n v="38"/>
    <n v="64"/>
  </r>
  <r>
    <x v="2"/>
    <s v="Quezon City"/>
    <s v="School District X"/>
    <n v="305338"/>
    <s v="Maligaya HS"/>
    <s v="Ilang-Ilang Street"/>
    <s v="5th District"/>
    <x v="9"/>
    <s v="Public"/>
    <s v="DepED Managed"/>
    <s v="School with no Annexes"/>
    <s v="Grade 7-10"/>
    <s v="No"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4"/>
    <n v="1"/>
    <n v="4"/>
    <n v="12"/>
    <n v="15"/>
    <n v="4"/>
    <n v="9"/>
    <n v="0"/>
    <n v="0"/>
    <n v="30"/>
    <n v="32"/>
    <n v="62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0"/>
    <n v="32"/>
    <n v="62"/>
  </r>
  <r>
    <x v="2"/>
    <s v="Quezon City"/>
    <s v="School District X"/>
    <n v="305339"/>
    <s v="North Fairview HS"/>
    <s v="Auburn North Fairview"/>
    <s v="5th District"/>
    <x v="10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0"/>
    <n v="0"/>
    <n v="12"/>
    <n v="9"/>
    <n v="38"/>
    <n v="40"/>
    <n v="0"/>
    <n v="0"/>
    <n v="57"/>
    <n v="55"/>
    <n v="112"/>
    <n v="0"/>
    <n v="0"/>
    <n v="0"/>
    <n v="1"/>
    <n v="0"/>
    <n v="0"/>
    <n v="1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"/>
    <n v="1"/>
    <n v="2"/>
    <n v="58"/>
    <n v="56"/>
    <n v="114"/>
  </r>
  <r>
    <x v="2"/>
    <s v="Quezon City"/>
    <s v="School District X"/>
    <n v="401447"/>
    <s v="AMA Computer College-Farview"/>
    <s v="Blk 61, Lot 28-31, Bristol St. Cor. Regalado Ave., Brgy. North Fairview, Q.C."/>
    <s v="5th District"/>
    <x v="10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06474"/>
    <s v="Divine Grace School"/>
    <s v="Ilang-ilang Street"/>
    <s v="5th District"/>
    <x v="9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"/>
    <n v="1"/>
    <n v="2"/>
    <n v="1"/>
    <n v="1"/>
    <n v="2"/>
  </r>
  <r>
    <x v="2"/>
    <s v="Quezon City"/>
    <s v="School District X"/>
    <n v="406484"/>
    <s v="Our Lady of Fatima University"/>
    <s v="Hilltop Mansion, Lagro, Quezon City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6"/>
    <n v="0"/>
    <n v="0"/>
    <n v="27"/>
    <n v="45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30"/>
    <n v="61"/>
    <n v="91"/>
    <n v="30"/>
    <n v="61"/>
    <n v="91"/>
  </r>
  <r>
    <x v="2"/>
    <s v="Quezon City"/>
    <s v="School District X"/>
    <n v="406485"/>
    <s v="Our Lady of Lourdes of Novaliches (OLLSN), Inc."/>
    <s v="9 Nightingale, 14 Woodpecker Streets, ,Zabarte Subdivision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06487"/>
    <s v="School of St. Anthony"/>
    <s v="Lagro QC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06493"/>
    <s v="St. Vincent de Paul Academy of Novaliches, Inc."/>
    <s v="Atrium St., Maligaya Park Subd., Pasong Putik, Nova., QC"/>
    <s v="5th District"/>
    <x v="9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06510"/>
    <s v="Covenant of Grace School"/>
    <s v="#6 Pearl St. East Fairview"/>
    <s v="5th District"/>
    <x v="4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07808"/>
    <s v="Jbest School of Technology and Practical Skills - Lagro, Inc."/>
    <s v="4th Floor Lester Bldg. Km. 22 Quirino Highway, Lagro"/>
    <s v="5th District"/>
    <x v="9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0"/>
    <n v="13"/>
    <n v="0"/>
    <n v="0"/>
    <n v="0"/>
    <n v="0"/>
    <n v="0"/>
    <n v="0"/>
    <n v="15"/>
    <n v="15"/>
    <n v="0"/>
    <n v="0"/>
    <n v="0"/>
    <n v="0"/>
    <m/>
    <m/>
    <m/>
    <m/>
    <m/>
    <m/>
    <n v="3"/>
    <n v="15"/>
    <n v="11"/>
    <n v="18"/>
    <n v="0"/>
    <n v="0"/>
    <n v="0"/>
    <n v="1"/>
    <n v="0"/>
    <n v="0"/>
    <n v="25"/>
    <n v="30"/>
    <n v="0"/>
    <n v="0"/>
    <n v="0"/>
    <n v="0"/>
    <m/>
    <m/>
    <n v="65"/>
    <n v="92"/>
    <n v="157"/>
    <n v="65"/>
    <n v="92"/>
    <n v="157"/>
  </r>
  <r>
    <x v="2"/>
    <s v="Quezon City"/>
    <s v="School District X"/>
    <n v="410119"/>
    <s v="The Steppingstone Progressivist School Inc."/>
    <s v="25 Cavalier Street, Ea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504"/>
    <s v="St. Mary's School of Novaliches, Inc."/>
    <s v="Olympus Drive, North Olympus Subdivision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521"/>
    <s v="Another Home to Grow Academy Inc.,"/>
    <s v="24 Adrian Street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541"/>
    <s v="St. Mariam Thresia School"/>
    <s v="135 Gen. Luis St., Nagkaisang Nayon, Q,C,"/>
    <s v="5th District"/>
    <x v="1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600"/>
    <s v="Virgen de Guadalupe de Novaliches"/>
    <s v="41 Sampaguita"/>
    <s v="5th District"/>
    <x v="9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611"/>
    <s v="School of St. Maximilian Mary Kolbe, Inc."/>
    <s v="Block 9 Lot 10 Atrium Street, Maligaya Park Subdivision"/>
    <s v="5th District"/>
    <x v="9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612"/>
    <s v="Beulah Land Christian School of Quezon City, Inc."/>
    <s v="Mary town Circle"/>
    <s v="5th District"/>
    <x v="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617"/>
    <s v="St. Joseph School of Fairview, Inc."/>
    <s v="Atherton"/>
    <s v="5th District"/>
    <x v="10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619"/>
    <s v="Atherton School, Inc."/>
    <s v="Blk 64 Ph 8 Atherton St. North Fairview Subdivision"/>
    <s v="5th District"/>
    <x v="10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719"/>
    <s v="Einstein School for Kids"/>
    <s v="Block 68 Lots 30-32, Hermano Mayor St., Lagro Novaliches, Qu"/>
    <s v="5th District"/>
    <x v="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730"/>
    <s v="MSA Whiz Kids Academy, Inc."/>
    <s v="17 Bituin St. Teresa Heights"/>
    <s v="5th District"/>
    <x v="9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"/>
    <n v="482821"/>
    <s v="Discovery House Montessori of Quezon City, Inc."/>
    <s v="59 Adrian Street, North Fairview Park Subdivision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"/>
    <n v="406495"/>
    <s v="Achievers Academy of Q.C. Inc."/>
    <s v="14 Mustang Street, Fairview Park Subdivision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"/>
    <n v="406500"/>
    <s v="Bethel Christian School of Fairview, Inc."/>
    <s v="366 Chestnut Street corner Republic Avenue, West Fairview"/>
    <s v="5th District"/>
    <x v="4"/>
    <s v="Private"/>
    <s v="Non-Sectarian "/>
    <s v="Mother school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"/>
    <n v="406512"/>
    <s v="Fairview Baptist Academy"/>
    <s v="B2 L2 Windsor cor. Peacock Sts.,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"/>
    <n v="406570"/>
    <s v="(HIS) Hope Integrated School, Inc"/>
    <s v="#2 Iris St., Corner Dahlia Avenue West Fairview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"/>
    <n v="482522"/>
    <s v="Falcon School, Inc."/>
    <s v="Dahlia Ave. Fairview Park Subd., West Fairview, Quezon City"/>
    <s v="5th District"/>
    <x v="4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"/>
    <n v="482544"/>
    <s v="The Lord of Grace Christian School, Inc."/>
    <s v="#30 Diamond Street, East Fairview, Quezon City"/>
    <s v="5th District"/>
    <x v="4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"/>
    <n v="406018"/>
    <s v="Abraham Dumlao Colleges of the Phils."/>
    <s v="12 Salvia St., Saint Dominic 12 Subd., Brgy. Kaligayahan, District IV, Novaliches,"/>
    <s v="5th District"/>
    <x v="8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"/>
    <n v="410229"/>
    <s v="Jordan Woods Academy, Inc."/>
    <s v="Block 7 Lot 34 Don Mariano Marcos Avenue, Jordan Plains, Novaliches"/>
    <s v="5th District"/>
    <x v="1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1"/>
    <n v="1"/>
    <n v="0"/>
    <n v="1"/>
    <n v="1"/>
  </r>
  <r>
    <x v="2"/>
    <s v="Quezon City"/>
    <s v="School District XVI"/>
    <n v="136520"/>
    <s v="Bagbag Elementary School"/>
    <s v="L5 B5 RICHLAND 5 SUBDIVISION BARANGAY BAGBAG QUEZON CITY"/>
    <s v="5th District"/>
    <x v="5"/>
    <s v="Public"/>
    <s v="DepED Managed"/>
    <s v="School with no Annexes"/>
    <s v="Kinder &amp; Grade 1-6"/>
    <s v="No"/>
    <s v="Purely ES"/>
    <n v="1"/>
    <n v="2"/>
    <n v="0"/>
    <n v="0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"/>
    <n v="2"/>
    <n v="3"/>
  </r>
  <r>
    <x v="2"/>
    <s v="Quezon City"/>
    <s v="School District XVI"/>
    <n v="136521"/>
    <s v="Goodwill ES"/>
    <s v="-Noah St. Goodwill Homes II, Bagbag"/>
    <s v="5th District"/>
    <x v="5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136523"/>
    <s v="Odelco Elementary School"/>
    <s v="Orange Street, Odelco Subdivision, Novaliches"/>
    <s v="5th District"/>
    <x v="6"/>
    <s v="Public"/>
    <s v="DepED Managed"/>
    <s v="School with no Annexes"/>
    <s v="Kinder &amp; Grade 1-6"/>
    <s v="No"/>
    <s v="Purely ES"/>
    <n v="0"/>
    <n v="0"/>
    <n v="0"/>
    <n v="1"/>
    <n v="0"/>
    <n v="1"/>
    <n v="0"/>
    <n v="1"/>
    <n v="2"/>
    <n v="1"/>
    <n v="4"/>
    <n v="5"/>
    <n v="0"/>
    <n v="0"/>
    <n v="1"/>
    <n v="1"/>
    <n v="7"/>
    <n v="1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7"/>
    <n v="10"/>
    <n v="17"/>
  </r>
  <r>
    <x v="2"/>
    <s v="Quezon City"/>
    <s v="School District XVI"/>
    <n v="136525"/>
    <s v="San Bartolome ES"/>
    <s v="Quirino Highway"/>
    <s v="5th District"/>
    <x v="6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406533"/>
    <s v="AccessComputer &amp; Technical Colleges (Lagro, Quirino Q.C.) Inc."/>
    <s v="Brgy Great Lagro"/>
    <s v="5th District"/>
    <x v="2"/>
    <s v="Private"/>
    <s v="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482834"/>
    <s v="Escuela De Corazon of Quezon City, Inc."/>
    <s v="Block 2, Lot 6 Magsaysay Avenue, Doña Faustina Village, Novaliches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482835"/>
    <s v="Little Stephanie Learning School, Inc."/>
    <s v="#111 P. Dela Cruz St.,"/>
    <s v="5th District"/>
    <x v="6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482916"/>
    <s v="John Xanderian Learning Center, Inc."/>
    <s v="Block 2 Lot 15 Santiago Subdivision, Sta. Monica"/>
    <s v="5th District"/>
    <x v="8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482929"/>
    <s v="Our Lady of the Angels Seminary-College, Inc."/>
    <s v="Seminary Road, Novaliches"/>
    <s v="5th District"/>
    <x v="5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"/>
    <n v="482941"/>
    <s v="Little Anak Learning School, Inc."/>
    <s v="9 Silver St., Rockville Subdivision"/>
    <s v="5th District"/>
    <x v="6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136527"/>
    <s v="Dona Rosario Elementary School"/>
    <s v="Panday Pira Street"/>
    <s v="5th District"/>
    <x v="8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2"/>
    <n v="2"/>
    <n v="1"/>
    <n v="3"/>
    <n v="0"/>
    <n v="0"/>
    <n v="0"/>
    <n v="0"/>
    <n v="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5"/>
    <n v="8"/>
  </r>
  <r>
    <x v="2"/>
    <s v="Quezon City"/>
    <s v="School District XVII"/>
    <n v="136528"/>
    <s v="Rosa L. Susano - Novaliches ES"/>
    <s v="Gulod"/>
    <s v="5th District"/>
    <x v="3"/>
    <s v="Public"/>
    <s v="DepED Managed"/>
    <s v="School with no Annexes"/>
    <s v="Kinder &amp; Grade 1-6"/>
    <s v="No"/>
    <s v="Purely ES"/>
    <n v="9"/>
    <n v="9"/>
    <n v="20"/>
    <n v="15"/>
    <n v="11"/>
    <n v="9"/>
    <n v="22"/>
    <n v="25"/>
    <n v="54"/>
    <n v="63"/>
    <n v="53"/>
    <n v="54"/>
    <n v="54"/>
    <n v="54"/>
    <n v="3"/>
    <n v="4"/>
    <n v="226"/>
    <n v="233"/>
    <n v="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26"/>
    <n v="233"/>
    <n v="459"/>
  </r>
  <r>
    <x v="2"/>
    <s v="Quezon City"/>
    <s v="School District XVII"/>
    <n v="136529"/>
    <s v="San Gabriel ES"/>
    <s v="A. Bonifacio"/>
    <s v="5th District"/>
    <x v="0"/>
    <s v="Public"/>
    <s v="DepED Managed"/>
    <s v="School with no Annexes"/>
    <s v="Kinder &amp; Grade 1-6"/>
    <s v="No"/>
    <s v="Purely ES"/>
    <n v="1"/>
    <n v="2"/>
    <n v="1"/>
    <n v="1"/>
    <n v="1"/>
    <n v="1"/>
    <n v="7"/>
    <n v="1"/>
    <n v="1"/>
    <n v="1"/>
    <n v="1"/>
    <n v="2"/>
    <n v="1"/>
    <n v="0"/>
    <n v="0"/>
    <n v="0"/>
    <n v="13"/>
    <n v="8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3"/>
    <n v="8"/>
    <n v="21"/>
  </r>
  <r>
    <x v="2"/>
    <s v="Quezon City"/>
    <s v="School District XVII"/>
    <n v="136530"/>
    <s v="Villa Verde Elementary School"/>
    <s v="Villa Verde Avenue, Villa Verde Homes"/>
    <s v="5th District"/>
    <x v="12"/>
    <s v="Public"/>
    <s v="DepED Managed"/>
    <s v="School with no Annexes"/>
    <s v="Kinder &amp; Grade 1-6"/>
    <s v="No"/>
    <s v="Purely ES"/>
    <n v="1"/>
    <n v="3"/>
    <n v="0"/>
    <n v="0"/>
    <n v="2"/>
    <n v="1"/>
    <n v="2"/>
    <n v="2"/>
    <n v="8"/>
    <n v="4"/>
    <n v="1"/>
    <n v="4"/>
    <n v="1"/>
    <n v="2"/>
    <n v="0"/>
    <n v="0"/>
    <n v="15"/>
    <n v="16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5"/>
    <n v="16"/>
    <n v="31"/>
  </r>
  <r>
    <x v="2"/>
    <s v="Quezon City"/>
    <s v="School District XVII"/>
    <n v="136538"/>
    <s v="San Agustin ES"/>
    <s v="Heavenly Dr. St. San Agustin,  Novaliches, Quezon City"/>
    <s v="5th District"/>
    <x v="7"/>
    <s v="Public"/>
    <s v="DepED Managed"/>
    <s v="School with no Annexes"/>
    <s v="Kinder &amp; Grade 1-6"/>
    <s v="No"/>
    <s v="Purely ES"/>
    <n v="0"/>
    <n v="1"/>
    <n v="1"/>
    <n v="1"/>
    <n v="0"/>
    <n v="0"/>
    <n v="3"/>
    <n v="2"/>
    <n v="3"/>
    <n v="4"/>
    <n v="0"/>
    <n v="1"/>
    <n v="1"/>
    <n v="0"/>
    <n v="0"/>
    <n v="0"/>
    <n v="8"/>
    <n v="9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8"/>
    <n v="9"/>
    <n v="17"/>
  </r>
  <r>
    <x v="2"/>
    <s v="Quezon City"/>
    <s v="School District XVII"/>
    <n v="340697"/>
    <s v="Jose Maria Panganiban Senior High School"/>
    <s v="Gulod Novaliches, Quezon City"/>
    <s v="5th District"/>
    <x v="3"/>
    <s v="Public"/>
    <s v="DepED Managed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2"/>
    <n v="0"/>
    <n v="0"/>
    <n v="0"/>
    <n v="0"/>
    <n v="0"/>
    <m/>
    <m/>
    <n v="2"/>
    <n v="0"/>
    <n v="2"/>
    <n v="2"/>
    <n v="0"/>
    <n v="2"/>
  </r>
  <r>
    <x v="2"/>
    <s v="Quezon City"/>
    <s v="School District XVII"/>
    <n v="409329"/>
    <s v="Capstone Highest Achiever Learning School Inc."/>
    <s v="Block 10 Lot 2 Queens Road corner Northwind Avenue Subdivision, Novaliches"/>
    <s v="5th District"/>
    <x v="11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09731"/>
    <s v="St. Anthony School of Sta. Lucia, Inc."/>
    <s v="33 F. Balagtas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09737"/>
    <s v="Trinity Polytechnic College, Inc."/>
    <s v="892 Alfina Building, Quirino Highway"/>
    <s v="5th District"/>
    <x v="3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6"/>
    <n v="10"/>
    <n v="11"/>
    <n v="7"/>
    <n v="2"/>
    <n v="5"/>
    <n v="2"/>
    <n v="0"/>
    <n v="0"/>
    <n v="9"/>
    <n v="6"/>
    <n v="0"/>
    <n v="0"/>
    <n v="0"/>
    <n v="0"/>
    <m/>
    <m/>
    <m/>
    <m/>
    <m/>
    <m/>
    <n v="10"/>
    <n v="17"/>
    <n v="11"/>
    <n v="18"/>
    <n v="11"/>
    <n v="11"/>
    <n v="6"/>
    <n v="7"/>
    <n v="0"/>
    <n v="0"/>
    <n v="12"/>
    <n v="25"/>
    <n v="0"/>
    <n v="0"/>
    <n v="0"/>
    <n v="0"/>
    <m/>
    <m/>
    <n v="83"/>
    <n v="105"/>
    <n v="188"/>
    <n v="83"/>
    <n v="105"/>
    <n v="188"/>
  </r>
  <r>
    <x v="2"/>
    <s v="Quezon City"/>
    <s v="School District XVII"/>
    <n v="482836"/>
    <s v="John Mark Christian School of Nova., Inc."/>
    <s v="#29 Petronia St., Buenamar Subd. Novaliches Q.C"/>
    <s v="5th District"/>
    <x v="8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887"/>
    <s v="Brother Sun Sister Moon Academy, Inc."/>
    <s v="001 J.P. Rizal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889"/>
    <s v="Book of Life Christian Academy Novaliches, Inc."/>
    <s v="64 A. Bonifacio corner P. Burgos Street, Novaliches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890"/>
    <s v="School of the Corpus Christi (Quezon City), Inc."/>
    <s v="L5B2, Atis Cor. Avocado Rds.,  Phase 1-A, Palmera,"/>
    <s v="5th District"/>
    <x v="12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909"/>
    <s v="School of Thoughts and Principles, Inc."/>
    <s v="7 P. Burgos Street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963"/>
    <s v="St. Alexis Community School of QC., Inc"/>
    <s v="#27 Diego Silang St., Rivera Ville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978"/>
    <s v="Kingsville Learning Center, Inc."/>
    <s v="6 Diego Silang St., Sta Lucia, Nova."/>
    <s v="5th District"/>
    <x v="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979"/>
    <s v="Mount Charmel School For Achievers, Inc."/>
    <s v="#789 Quirino Highway, Gulod, Nova"/>
    <s v="5th District"/>
    <x v="3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"/>
    <n v="482980"/>
    <s v="Divine Trinity Learning Academy, Inc."/>
    <s v="28 Jewel Street, Forest Hills Subdivision, Novaliches"/>
    <s v="5th District"/>
    <x v="3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136531"/>
    <s v="Damong Maliit ES"/>
    <s v="#18 Trinidad Avenue, Nagkaisang Nayon"/>
    <s v="5th District"/>
    <x v="11"/>
    <s v="Public"/>
    <s v="DepED Managed"/>
    <s v="School with no Annexes"/>
    <s v="Kinder &amp; Grade 1-6"/>
    <s v="No"/>
    <s v="Purely ES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"/>
    <n v="0"/>
    <n v="1"/>
  </r>
  <r>
    <x v="2"/>
    <s v="Quezon City"/>
    <s v="School District XVIII"/>
    <n v="136532"/>
    <s v="Delfin M. Geraldez Memorial ES"/>
    <s v="12 Salvia St., Kaligayahan"/>
    <s v="5th District"/>
    <x v="1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4"/>
    <n v="3"/>
    <n v="0"/>
    <n v="0"/>
    <n v="0"/>
    <n v="0"/>
    <n v="0"/>
    <n v="0"/>
    <n v="4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3"/>
    <n v="7"/>
  </r>
  <r>
    <x v="2"/>
    <s v="Quezon City"/>
    <s v="School District XVIII"/>
    <n v="136533"/>
    <s v="Kaligayahan ES"/>
    <s v="Rivera Compound"/>
    <s v="5th District"/>
    <x v="1"/>
    <s v="Public"/>
    <s v="DepED Managed"/>
    <s v="School with no Annexes"/>
    <s v="Kinder &amp; Grade 1-6"/>
    <s v="No"/>
    <s v="Purely ES"/>
    <n v="0"/>
    <n v="0"/>
    <n v="0"/>
    <n v="0"/>
    <n v="0"/>
    <n v="0"/>
    <n v="1"/>
    <n v="0"/>
    <n v="0"/>
    <n v="0"/>
    <n v="1"/>
    <n v="1"/>
    <n v="1"/>
    <n v="0"/>
    <n v="0"/>
    <n v="0"/>
    <n v="3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1"/>
    <n v="4"/>
  </r>
  <r>
    <x v="2"/>
    <s v="Quezon City"/>
    <s v="School District XVIII"/>
    <n v="136534"/>
    <s v="Lagro ES"/>
    <s v="Ascension Ave."/>
    <s v="5th District"/>
    <x v="2"/>
    <s v="Public"/>
    <s v="DepED Managed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136535"/>
    <s v="Maligaya ES"/>
    <s v="Ilang-Ilang Pasong Putik Proper QC"/>
    <s v="5th District"/>
    <x v="9"/>
    <s v="Public"/>
    <s v="DepED Managed"/>
    <s v="School with no Annexes"/>
    <s v="Kinder &amp; Grade 1-6"/>
    <s v="No"/>
    <s v="Purely ES"/>
    <n v="1"/>
    <n v="0"/>
    <n v="2"/>
    <n v="1"/>
    <n v="2"/>
    <n v="9"/>
    <n v="13"/>
    <n v="8"/>
    <n v="4"/>
    <n v="4"/>
    <n v="7"/>
    <n v="7"/>
    <n v="11"/>
    <n v="11"/>
    <n v="0"/>
    <n v="0"/>
    <n v="40"/>
    <n v="4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0"/>
    <n v="40"/>
    <n v="80"/>
  </r>
  <r>
    <x v="2"/>
    <s v="Quezon City"/>
    <s v="School District XVIII"/>
    <n v="136536"/>
    <s v="Nagkaisang Nayon ES"/>
    <s v="-Mayon St.,Brgy Nagkaisang Nayon Q. C."/>
    <s v="5th District"/>
    <x v="11"/>
    <s v="Public"/>
    <s v="DepED Managed"/>
    <s v="School with no Annexes"/>
    <s v="Kinder &amp; Grade 1-6"/>
    <s v="No"/>
    <s v="Purely ES"/>
    <n v="0"/>
    <n v="1"/>
    <n v="3"/>
    <n v="3"/>
    <n v="3"/>
    <n v="1"/>
    <n v="2"/>
    <n v="7"/>
    <n v="22"/>
    <n v="17"/>
    <n v="18"/>
    <n v="11"/>
    <n v="18"/>
    <n v="19"/>
    <n v="0"/>
    <n v="0"/>
    <n v="66"/>
    <n v="59"/>
    <n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66"/>
    <n v="59"/>
    <n v="125"/>
  </r>
  <r>
    <x v="2"/>
    <s v="Quezon City"/>
    <s v="School District XVIII"/>
    <n v="136537"/>
    <s v="North Fairview ES"/>
    <s v="Avon St.,Cor. Astor"/>
    <s v="5th District"/>
    <x v="10"/>
    <s v="Public"/>
    <s v="DepED Managed"/>
    <s v="School with no Annexes"/>
    <s v="Kinder &amp; Grade 1-6"/>
    <s v="No"/>
    <s v="Purely ES"/>
    <n v="0"/>
    <n v="0"/>
    <n v="0"/>
    <n v="0"/>
    <n v="0"/>
    <n v="1"/>
    <n v="4"/>
    <n v="10"/>
    <n v="3"/>
    <n v="1"/>
    <n v="2"/>
    <n v="1"/>
    <n v="1"/>
    <n v="1"/>
    <n v="0"/>
    <n v="0"/>
    <n v="10"/>
    <n v="1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0"/>
    <n v="14"/>
    <n v="24"/>
  </r>
  <r>
    <x v="2"/>
    <s v="Quezon City"/>
    <s v="School District XVIII"/>
    <n v="136543"/>
    <s v="Fairview ES"/>
    <s v="Fairlane St. Fairview Quezon City"/>
    <s v="5th District"/>
    <x v="4"/>
    <s v="Public"/>
    <s v="DepED Managed"/>
    <s v="School with no Annexes"/>
    <s v="Kinder &amp; Grade 1-6"/>
    <s v="No"/>
    <s v="Purely ES"/>
    <n v="0"/>
    <n v="1"/>
    <n v="5"/>
    <n v="1"/>
    <n v="2"/>
    <n v="3"/>
    <n v="0"/>
    <n v="1"/>
    <n v="1"/>
    <n v="1"/>
    <n v="4"/>
    <n v="4"/>
    <n v="0"/>
    <n v="0"/>
    <n v="0"/>
    <n v="0"/>
    <n v="12"/>
    <n v="1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2"/>
    <n v="11"/>
    <n v="23"/>
  </r>
  <r>
    <x v="2"/>
    <s v="Quezon City"/>
    <s v="School District XVIII"/>
    <n v="222501"/>
    <s v="West Fairview Elementary School"/>
    <s v="Austin St. West Fairview"/>
    <s v="5th District"/>
    <x v="13"/>
    <s v="Public"/>
    <s v="DepED Managed"/>
    <s v="School with no Annexes"/>
    <s v="Kinder &amp; Grade 1-6"/>
    <s v="No"/>
    <s v="Purely ES"/>
    <n v="2"/>
    <n v="2"/>
    <n v="0"/>
    <n v="0"/>
    <n v="0"/>
    <n v="0"/>
    <n v="0"/>
    <n v="3"/>
    <n v="2"/>
    <n v="1"/>
    <n v="0"/>
    <n v="0"/>
    <n v="0"/>
    <n v="0"/>
    <n v="0"/>
    <n v="0"/>
    <n v="4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6"/>
    <n v="10"/>
  </r>
  <r>
    <x v="2"/>
    <s v="Quezon City"/>
    <s v="School District XVIII"/>
    <n v="305635"/>
    <s v="West Fairview High School"/>
    <s v="Austin Street, Fairview Park"/>
    <s v="5th District"/>
    <x v="4"/>
    <s v="Public"/>
    <s v="DepED Managed"/>
    <s v="School with no Annexes"/>
    <s v="Grade 7-10"/>
    <s v="No"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2"/>
    <n v="0"/>
    <n v="0"/>
    <n v="0"/>
    <n v="0"/>
    <n v="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5"/>
    <n v="8"/>
  </r>
  <r>
    <x v="2"/>
    <s v="Quezon City"/>
    <s v="School District XVIII"/>
    <n v="406492"/>
    <s v="St. Theresa's School of Novaliches, Inc."/>
    <s v="7 KIngfisher Street, Zabarte Subdivision, Novaliches"/>
    <s v="5th District"/>
    <x v="1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08390"/>
    <s v="Active Thinkers Child Development, Inc."/>
    <s v="43 Chestnut Street, West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08616"/>
    <s v="JLM  Creative Learner's Home, Inc."/>
    <s v="The Redwoods Condominium, Quirino Highway corner Regalado Avenue, Novaliches"/>
    <s v="5th District"/>
    <x v="9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08783"/>
    <s v="The Growing Place Learning Center, Inc."/>
    <s v="12 Fiat Street, Fairview"/>
    <s v="5th District"/>
    <x v="4"/>
    <s v="Private"/>
    <s v="Non-Sectarian "/>
    <s v="School with no Annexes"/>
    <s v="Kinder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08809"/>
    <s v="Jone Paul Christian School, Inc."/>
    <s v="313 Sitio Urlina Republic Ave., West Fairview"/>
    <s v="5th District"/>
    <x v="4"/>
    <s v="Private"/>
    <s v="Non-Sectarian "/>
    <s v="School with no Annexes"/>
    <s v="Kinder, Grade 1-6, Grade 7-10"/>
    <s v="No"/>
    <s v="ES and JHS _x000a_(K to 10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08851"/>
    <s v="Integrated Innovation and Hospitality Colleges, Inc."/>
    <s v="C. I. Plaza Building, Zabarte Road, Novaliches"/>
    <s v="5th District"/>
    <x v="1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0"/>
    <n v="3"/>
    <n v="0"/>
    <n v="0"/>
    <n v="0"/>
    <n v="0"/>
    <n v="0"/>
    <n v="1"/>
    <n v="0"/>
    <n v="0"/>
    <n v="0"/>
    <n v="0"/>
    <m/>
    <m/>
    <m/>
    <m/>
    <m/>
    <m/>
    <n v="0"/>
    <n v="0"/>
    <n v="0"/>
    <n v="0"/>
    <n v="0"/>
    <n v="1"/>
    <n v="0"/>
    <n v="0"/>
    <n v="0"/>
    <n v="0"/>
    <n v="0"/>
    <n v="0"/>
    <n v="0"/>
    <n v="0"/>
    <n v="0"/>
    <n v="0"/>
    <m/>
    <m/>
    <n v="2"/>
    <n v="8"/>
    <n v="10"/>
    <n v="2"/>
    <n v="8"/>
    <n v="10"/>
  </r>
  <r>
    <x v="2"/>
    <s v="Quezon City"/>
    <s v="School District XVIII"/>
    <n v="409734"/>
    <s v="Lincoln School of Arts and Languages Inc."/>
    <s v="Lot 2 &amp; 4, Block 229, Mindanao Avenue, Extension, Neopolitan Subdivision"/>
    <s v="5th District"/>
    <x v="9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09888"/>
    <s v="Johnryn Learning School of Quezon City"/>
    <s v="Block 213 Lot 21 Yuan Street, Phase 8 North Fairview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82709"/>
    <s v="Operation Brotherhood Montessori Center"/>
    <s v="Napoli St, Neopolitan IV, Brittany Subd."/>
    <s v="5th District"/>
    <x v="6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82716"/>
    <s v="The Raya School, Inc."/>
    <s v="Lot 3 Block 8 Sorrento Street, Neopolitan Business Park, Novaliches"/>
    <s v="5th District"/>
    <x v="2"/>
    <s v="Private"/>
    <s v="Non-Sectarian "/>
    <s v="School with no Annexes"/>
    <s v="Kinder, Grade 1-6, Grade 7-10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82885"/>
    <s v="LSA Evergreen Christian Academy"/>
    <s v="#17 Upper Narra St., Sapamanai"/>
    <s v="5th District"/>
    <x v="4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82891"/>
    <s v="The Fountain of Life School of Quezon City, Inc."/>
    <s v="433 Drachma Street"/>
    <s v="5th District"/>
    <x v="10"/>
    <s v="Private"/>
    <s v="Non-Sectarian "/>
    <s v="School with no Annexes"/>
    <s v="Kinder &amp; Grade 1-6"/>
    <s v="No"/>
    <s v="Purely 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82971"/>
    <s v="Datamex - College of Saint Adeline, Inc."/>
    <s v="85 East Fairview Park Subdivision, Commonwealth Avenue"/>
    <s v="5th District"/>
    <x v="4"/>
    <s v="Private"/>
    <s v="Non-Sectarian "/>
    <s v="School with no Annexes"/>
    <s v="Kinder &amp; Grade 11-12"/>
    <s v="No"/>
    <s v="All Offering (K to 12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VIII"/>
    <n v="482987"/>
    <s v="Affordable Private Education Center, Inc. (APEC Schools)-North Fairview Branch"/>
    <s v="Lot 10 Block 43, Regalado Highway"/>
    <s v="5th District"/>
    <x v="10"/>
    <s v="Private"/>
    <s v="Non-Sectarian 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X"/>
    <n v="360867"/>
    <s v="Leandro Locsin Integrated School"/>
    <s v="Rivera Compound"/>
    <s v="5th District"/>
    <x v="1"/>
    <s v="Public"/>
    <s v="DepED Managed"/>
    <s v="School with no Annexes"/>
    <s v="Grade 7-10 &amp; Grade 11-12"/>
    <s v="No"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X"/>
    <n v="401443"/>
    <s v="ABE International Business College-Commonwealth"/>
    <s v="Block 9, Lot 3 Neopolitan Business Park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2"/>
    <s v="Quezon City"/>
    <s v="School District XIX"/>
    <n v="406423"/>
    <s v="AMA Computer Learning Center - Greater Lagro"/>
    <s v="2nd Floor, Bonanza Plaza 2 Bldg., Putol na Daan St., Quirino Hiway, Lagro, Quezon City"/>
    <s v="5th District"/>
    <x v="2"/>
    <s v="Private"/>
    <s v="Non-Sectarian "/>
    <s v="School with no Annexes"/>
    <s v="Grade 11-12"/>
    <s v="No"/>
    <s v="Purely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I"/>
    <n v="340690"/>
    <s v="Sta. Lucia Senior High School"/>
    <s v="A. Mabini Street, Novaliches"/>
    <s v="5th District"/>
    <x v="0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5"/>
    <n v="8"/>
    <n v="0"/>
    <n v="0"/>
    <n v="0"/>
    <n v="0"/>
    <n v="0"/>
    <n v="0"/>
    <n v="6"/>
    <n v="9"/>
    <n v="0"/>
    <n v="0"/>
    <n v="0"/>
    <n v="0"/>
    <m/>
    <m/>
    <m/>
    <m/>
    <m/>
    <m/>
    <n v="1"/>
    <n v="6"/>
    <n v="7"/>
    <n v="7"/>
    <n v="0"/>
    <n v="0"/>
    <n v="0"/>
    <n v="0"/>
    <n v="0"/>
    <n v="0"/>
    <n v="13"/>
    <n v="7"/>
    <n v="0"/>
    <n v="0"/>
    <n v="0"/>
    <n v="0"/>
    <m/>
    <m/>
    <n v="34"/>
    <n v="38"/>
    <n v="72"/>
    <n v="34"/>
    <n v="38"/>
    <n v="72"/>
  </r>
  <r>
    <x v="3"/>
    <s v="Quezon City"/>
    <s v="School District I"/>
    <n v="401453"/>
    <s v="Bestlink College of the Philippines"/>
    <s v="762 Topaz corner Sapphire Street, Millionares Village, San Agustin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8"/>
    <n v="31"/>
    <n v="29"/>
    <n v="15"/>
    <n v="17"/>
    <n v="6"/>
    <n v="4"/>
    <n v="0"/>
    <n v="1"/>
    <n v="30"/>
    <n v="13"/>
    <n v="0"/>
    <n v="0"/>
    <n v="0"/>
    <n v="0"/>
    <m/>
    <m/>
    <m/>
    <m/>
    <m/>
    <m/>
    <n v="5"/>
    <n v="16"/>
    <n v="17"/>
    <n v="9"/>
    <n v="2"/>
    <n v="5"/>
    <n v="2"/>
    <n v="2"/>
    <n v="0"/>
    <n v="0"/>
    <n v="5"/>
    <n v="4"/>
    <n v="0"/>
    <n v="0"/>
    <n v="0"/>
    <n v="0"/>
    <m/>
    <m/>
    <n v="122"/>
    <n v="118"/>
    <n v="240"/>
    <n v="122"/>
    <n v="118"/>
    <n v="240"/>
  </r>
  <r>
    <x v="3"/>
    <s v="Quezon City"/>
    <s v="School District I"/>
    <n v="401486"/>
    <s v="Integrated Innovation and Hospitality Colleges, Inc."/>
    <s v="Buenamar Street"/>
    <s v="5th District"/>
    <x v="8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4"/>
    <n v="0"/>
    <n v="0"/>
    <n v="2"/>
    <n v="6"/>
    <n v="0"/>
    <n v="0"/>
    <n v="0"/>
    <n v="0"/>
    <m/>
    <m/>
    <m/>
    <m/>
    <m/>
    <m/>
    <n v="3"/>
    <n v="5"/>
    <n v="0"/>
    <n v="0"/>
    <n v="0"/>
    <n v="0"/>
    <n v="0"/>
    <n v="2"/>
    <n v="0"/>
    <n v="0"/>
    <n v="7"/>
    <n v="12"/>
    <n v="0"/>
    <n v="0"/>
    <n v="0"/>
    <n v="0"/>
    <m/>
    <m/>
    <n v="12"/>
    <n v="30"/>
    <n v="42"/>
    <n v="12"/>
    <n v="30"/>
    <n v="42"/>
  </r>
  <r>
    <x v="3"/>
    <s v="Quezon City"/>
    <s v="School District I"/>
    <n v="401495"/>
    <s v="National Polytechnic College of Science and Technology-Lagro"/>
    <s v="Blk. 125, Lot 22, Quirino Highway, Lagro, Quezon City"/>
    <s v="5th District"/>
    <x v="2"/>
    <s v="Private"/>
    <s v="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1"/>
    <n v="0"/>
    <n v="0"/>
    <n v="0"/>
    <n v="0"/>
    <m/>
    <m/>
    <m/>
    <m/>
    <m/>
    <m/>
    <n v="0"/>
    <n v="0"/>
    <n v="0"/>
    <n v="0"/>
    <n v="0"/>
    <n v="0"/>
    <n v="0"/>
    <n v="0"/>
    <n v="0"/>
    <n v="0"/>
    <n v="5"/>
    <n v="2"/>
    <n v="0"/>
    <n v="0"/>
    <n v="0"/>
    <n v="0"/>
    <m/>
    <m/>
    <n v="25"/>
    <n v="13"/>
    <n v="38"/>
    <n v="25"/>
    <n v="13"/>
    <n v="38"/>
  </r>
  <r>
    <x v="3"/>
    <s v="Quezon City"/>
    <s v="School District I"/>
    <n v="401500"/>
    <s v="National Polytechnic College of Science and Technology-Novaliches"/>
    <s v="Blk 4 Lot 7 Palm Street, Greenfields 1 Subd., Novaliches, Quezon City"/>
    <s v="5th District"/>
    <x v="3"/>
    <s v="Private"/>
    <s v="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3"/>
    <n v="17"/>
    <n v="0"/>
    <n v="0"/>
    <n v="3"/>
    <n v="4"/>
    <n v="0"/>
    <n v="0"/>
    <n v="0"/>
    <n v="0"/>
    <n v="0"/>
    <n v="0"/>
    <n v="0"/>
    <n v="0"/>
    <m/>
    <m/>
    <m/>
    <m/>
    <m/>
    <m/>
    <n v="1"/>
    <n v="5"/>
    <n v="0"/>
    <n v="1"/>
    <n v="0"/>
    <n v="0"/>
    <n v="2"/>
    <n v="2"/>
    <n v="0"/>
    <n v="0"/>
    <n v="0"/>
    <n v="0"/>
    <n v="0"/>
    <n v="0"/>
    <n v="0"/>
    <n v="0"/>
    <m/>
    <m/>
    <n v="22"/>
    <n v="31"/>
    <n v="53"/>
    <n v="22"/>
    <n v="31"/>
    <n v="53"/>
  </r>
  <r>
    <x v="3"/>
    <s v="Quezon City"/>
    <s v="School District I"/>
    <n v="409925"/>
    <s v="Electron College of Technical Education Corporation"/>
    <s v="CPE Building, Commonwealth Avenue,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2"/>
    <n v="0"/>
    <n v="0"/>
    <n v="0"/>
    <n v="0"/>
    <n v="0"/>
    <n v="0"/>
    <n v="0"/>
    <n v="0"/>
    <m/>
    <m/>
    <m/>
    <m/>
    <m/>
    <m/>
    <n v="2"/>
    <n v="9"/>
    <n v="0"/>
    <n v="0"/>
    <n v="0"/>
    <n v="0"/>
    <n v="0"/>
    <n v="1"/>
    <n v="0"/>
    <n v="0"/>
    <n v="0"/>
    <n v="0"/>
    <n v="0"/>
    <n v="0"/>
    <n v="0"/>
    <n v="0"/>
    <m/>
    <m/>
    <n v="4"/>
    <n v="14"/>
    <n v="18"/>
    <n v="4"/>
    <n v="14"/>
    <n v="18"/>
  </r>
  <r>
    <x v="3"/>
    <s v="Quezon City"/>
    <s v="School District I"/>
    <n v="409926"/>
    <s v="Electron College of Technical Education Corporation"/>
    <s v="661 Electron Building, Quirino Highway, Novaliches"/>
    <s v="5th District"/>
    <x v="5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0"/>
    <n v="0"/>
    <n v="0"/>
    <n v="0"/>
    <n v="0"/>
    <n v="0"/>
    <n v="0"/>
    <n v="0"/>
    <n v="0"/>
    <n v="0"/>
    <m/>
    <m/>
    <m/>
    <m/>
    <m/>
    <m/>
    <n v="0"/>
    <n v="0"/>
    <n v="0"/>
    <n v="0"/>
    <n v="19"/>
    <n v="13"/>
    <n v="0"/>
    <n v="0"/>
    <n v="0"/>
    <n v="0"/>
    <n v="0"/>
    <n v="0"/>
    <n v="0"/>
    <n v="0"/>
    <n v="0"/>
    <n v="0"/>
    <m/>
    <m/>
    <n v="22"/>
    <n v="18"/>
    <n v="40"/>
    <n v="22"/>
    <n v="18"/>
    <n v="40"/>
  </r>
  <r>
    <x v="3"/>
    <s v="Quezon City"/>
    <s v="School District I"/>
    <n v="410227"/>
    <s v="NU Fairview Incorporated"/>
    <s v="SM Fairview Complex, Quirino Highway corner Regalado"/>
    <s v="5th District"/>
    <x v="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m/>
    <m/>
    <m/>
    <m/>
    <m/>
    <m/>
    <n v="0"/>
    <n v="2"/>
    <n v="0"/>
    <n v="1"/>
    <n v="2"/>
    <n v="4"/>
    <n v="0"/>
    <n v="0"/>
    <n v="0"/>
    <n v="0"/>
    <n v="0"/>
    <n v="0"/>
    <n v="0"/>
    <n v="0"/>
    <n v="0"/>
    <n v="0"/>
    <m/>
    <m/>
    <n v="4"/>
    <n v="7"/>
    <n v="11"/>
    <n v="4"/>
    <n v="7"/>
    <n v="11"/>
  </r>
  <r>
    <x v="3"/>
    <s v="Quezon City"/>
    <s v="School District IV"/>
    <n v="410465"/>
    <s v="South East-Asia Institute of Trade and Technology Inc."/>
    <s v="JB Crystal Building Lots 36-38, Quirino Highway"/>
    <s v="5th District"/>
    <x v="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1"/>
    <n v="29"/>
    <n v="27"/>
    <n v="0"/>
    <n v="0"/>
    <n v="0"/>
    <n v="0"/>
    <n v="0"/>
    <n v="0"/>
    <n v="0"/>
    <n v="0"/>
    <n v="0"/>
    <n v="0"/>
    <n v="0"/>
    <n v="0"/>
    <m/>
    <m/>
    <m/>
    <m/>
    <m/>
    <m/>
    <n v="5"/>
    <n v="13"/>
    <n v="1"/>
    <n v="7"/>
    <n v="0"/>
    <n v="0"/>
    <n v="4"/>
    <n v="2"/>
    <n v="0"/>
    <n v="0"/>
    <n v="0"/>
    <n v="0"/>
    <n v="0"/>
    <n v="0"/>
    <n v="0"/>
    <n v="0"/>
    <m/>
    <m/>
    <n v="48"/>
    <n v="70"/>
    <n v="118"/>
    <n v="48"/>
    <n v="70"/>
    <n v="118"/>
  </r>
  <r>
    <x v="3"/>
    <s v="Quezon City"/>
    <s v="School District V"/>
    <n v="410825"/>
    <s v="SLDM Colleges of Quezon City Inc."/>
    <s v="B1 L1 Salvador Avenue corner Quirino Highway, Jordan Plains"/>
    <s v="5th District"/>
    <x v="1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"/>
    <n v="2"/>
    <n v="3"/>
    <n v="1"/>
    <n v="2"/>
    <n v="3"/>
  </r>
  <r>
    <x v="3"/>
    <s v="Quezon City"/>
    <s v="School District VI"/>
    <n v="406458"/>
    <s v="St. John of Beverley School"/>
    <s v="749 Quirino Highway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VIII"/>
    <n v="305341"/>
    <s v="San Bartolome HS"/>
    <s v="Holy Cross Rd."/>
    <s v="5th District"/>
    <x v="6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2"/>
    <n v="3"/>
    <n v="12"/>
    <n v="6"/>
    <n v="0"/>
    <n v="0"/>
    <n v="17"/>
    <n v="14"/>
    <n v="31"/>
    <n v="1"/>
    <n v="0"/>
    <n v="1"/>
    <n v="2"/>
    <n v="1"/>
    <n v="2"/>
    <n v="0"/>
    <n v="0"/>
    <n v="0"/>
    <n v="0"/>
    <n v="4"/>
    <n v="2"/>
    <n v="0"/>
    <n v="0"/>
    <n v="0"/>
    <n v="0"/>
    <m/>
    <m/>
    <m/>
    <m/>
    <m/>
    <m/>
    <n v="0"/>
    <n v="0"/>
    <n v="1"/>
    <n v="5"/>
    <n v="0"/>
    <n v="4"/>
    <n v="0"/>
    <n v="0"/>
    <n v="0"/>
    <n v="0"/>
    <n v="4"/>
    <n v="0"/>
    <n v="0"/>
    <n v="0"/>
    <n v="0"/>
    <n v="0"/>
    <m/>
    <m/>
    <n v="12"/>
    <n v="15"/>
    <n v="27"/>
    <n v="29"/>
    <n v="29"/>
    <n v="58"/>
  </r>
  <r>
    <x v="3"/>
    <s v="Quezon City"/>
    <s v="School District VIII"/>
    <n v="406446"/>
    <s v="Colegio de San Bartolome de Novaliches, Inc."/>
    <s v="Quirino Highway corner P. Dela Cruz Street, Novaliches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1"/>
    <n v="2"/>
    <n v="0"/>
    <n v="0"/>
    <n v="0"/>
    <n v="0"/>
    <n v="0"/>
    <n v="0"/>
    <n v="0"/>
    <n v="0"/>
    <n v="0"/>
    <n v="0"/>
    <n v="0"/>
    <n v="0"/>
    <n v="0"/>
    <n v="0"/>
    <m/>
    <m/>
    <n v="1"/>
    <n v="2"/>
    <n v="3"/>
    <n v="1"/>
    <n v="2"/>
    <n v="3"/>
  </r>
  <r>
    <x v="3"/>
    <s v="Quezon City"/>
    <s v="School District VIII"/>
    <n v="406451"/>
    <s v="Little Shepherd Child Development Center,"/>
    <s v="B.6 L 30-31 st James st. San Pedro Subd. 7 San Bartolome Nov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VIII"/>
    <n v="407772"/>
    <s v="AIM School for Excellence Inc."/>
    <s v="Block 5 Lot 40 St. James Street, San Pedro Subdivision 7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VIII"/>
    <n v="482569"/>
    <s v="Resurrection Catholic School"/>
    <s v="Pagkabuhay Road"/>
    <s v="5th District"/>
    <x v="5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VIII"/>
    <n v="482792"/>
    <s v="Saint Nicholas of Bari School"/>
    <s v="Franco Comp.Holy Cross Road San Bartolome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IX"/>
    <n v="305340"/>
    <s v="Novaliches HS"/>
    <s v="Lakandula"/>
    <s v="5th District"/>
    <x v="7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41"/>
    <n v="0"/>
    <n v="2"/>
    <n v="23"/>
    <n v="19"/>
    <n v="27"/>
    <n v="40"/>
    <n v="0"/>
    <n v="0"/>
    <n v="93"/>
    <n v="102"/>
    <n v="195"/>
    <n v="8"/>
    <n v="6"/>
    <n v="5"/>
    <n v="13"/>
    <n v="3"/>
    <n v="5"/>
    <n v="0"/>
    <n v="0"/>
    <n v="0"/>
    <n v="0"/>
    <n v="8"/>
    <n v="9"/>
    <n v="0"/>
    <n v="0"/>
    <n v="0"/>
    <n v="0"/>
    <m/>
    <m/>
    <m/>
    <m/>
    <m/>
    <m/>
    <n v="5"/>
    <n v="13"/>
    <n v="5"/>
    <n v="8"/>
    <n v="3"/>
    <n v="12"/>
    <n v="0"/>
    <n v="0"/>
    <n v="0"/>
    <n v="0"/>
    <n v="5"/>
    <n v="7"/>
    <n v="0"/>
    <n v="0"/>
    <n v="0"/>
    <n v="0"/>
    <m/>
    <m/>
    <n v="42"/>
    <n v="73"/>
    <n v="115"/>
    <n v="135"/>
    <n v="175"/>
    <n v="310"/>
  </r>
  <r>
    <x v="3"/>
    <s v="Quezon City"/>
    <s v="School District IX"/>
    <n v="305342"/>
    <s v="Sta. Lucia HS"/>
    <s v="J.P. Rizal Street, Novaliches"/>
    <s v="5th District"/>
    <x v="0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5"/>
    <n v="23"/>
    <n v="27"/>
    <n v="44"/>
    <n v="49"/>
    <n v="35"/>
    <n v="29"/>
    <n v="0"/>
    <n v="0"/>
    <n v="117"/>
    <n v="120"/>
    <n v="237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17"/>
    <n v="120"/>
    <n v="237"/>
  </r>
  <r>
    <x v="3"/>
    <s v="Quezon City"/>
    <s v="School District IX"/>
    <n v="319504"/>
    <s v="Dona Rosario HS"/>
    <s v="P. Urduja Street"/>
    <s v="5th District"/>
    <x v="8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4"/>
    <n v="29"/>
    <n v="32"/>
    <n v="29"/>
    <n v="27"/>
    <n v="67"/>
    <n v="85"/>
    <n v="0"/>
    <n v="0"/>
    <n v="165"/>
    <n v="178"/>
    <n v="343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65"/>
    <n v="178"/>
    <n v="343"/>
  </r>
  <r>
    <x v="3"/>
    <s v="Quezon City"/>
    <s v="School District IX"/>
    <n v="406462"/>
    <s v="Grace Montessori School of Novaliches"/>
    <s v="15N. Abelardo St., Doña Rosario Subd. Novaliches, QuezonCity"/>
    <s v="5th District"/>
    <x v="8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2"/>
    <n v="2"/>
    <n v="0"/>
    <n v="2"/>
    <n v="2"/>
  </r>
  <r>
    <x v="3"/>
    <s v="Quezon City"/>
    <s v="School District IX"/>
    <n v="406463"/>
    <s v="Holy Child Academy- Main"/>
    <s v="10 London Drive"/>
    <s v="5th District"/>
    <x v="3"/>
    <s v="Private"/>
    <s v="Non-Sectarian "/>
    <s v="Mother school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3"/>
    <n v="2"/>
    <n v="4"/>
    <n v="0"/>
    <n v="0"/>
    <n v="0"/>
    <n v="0"/>
    <n v="0"/>
    <n v="0"/>
    <n v="0"/>
    <n v="0"/>
    <n v="0"/>
    <m/>
    <m/>
    <m/>
    <m/>
    <m/>
    <m/>
    <n v="0"/>
    <n v="0"/>
    <n v="0"/>
    <n v="0"/>
    <n v="0"/>
    <n v="1"/>
    <n v="0"/>
    <n v="0"/>
    <n v="0"/>
    <n v="0"/>
    <n v="0"/>
    <n v="0"/>
    <n v="0"/>
    <n v="0"/>
    <n v="0"/>
    <n v="0"/>
    <m/>
    <m/>
    <n v="10"/>
    <n v="3"/>
    <n v="13"/>
    <n v="10"/>
    <n v="3"/>
    <n v="13"/>
  </r>
  <r>
    <x v="3"/>
    <s v="Quezon City"/>
    <s v="School District IX"/>
    <n v="406472"/>
    <s v="Sto. Nino de Novaliches School"/>
    <s v="Buenamar Street"/>
    <s v="5th District"/>
    <x v="8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IX"/>
    <n v="482540"/>
    <s v="St. Patrick School of Novaliches, Inc."/>
    <s v="#16 Jewel St. Forest Hills Subd."/>
    <s v="5th District"/>
    <x v="3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IX"/>
    <n v="482606"/>
    <s v="Sto. Nino Children Educational Center, Inc."/>
    <s v="Blk 10, Lot 6, Durian Street"/>
    <s v="5th District"/>
    <x v="1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IX"/>
    <n v="482607"/>
    <s v="Bloomridge Integrated School"/>
    <s v="248 Gen. Luis Street"/>
    <s v="5th District"/>
    <x v="8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IX"/>
    <n v="482771"/>
    <s v="Heuin Dol World Mission Christian Academy"/>
    <s v="25 Villaflor Village, Gulod, Novaliches Quezon City"/>
    <s v="5th District"/>
    <x v="3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305336"/>
    <s v="Lagro HS"/>
    <s v="Misa de Gallo St. cor. Ascension Ave., Brgy. Greater Lagro,"/>
    <s v="5th District"/>
    <x v="2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2"/>
    <n v="2"/>
    <n v="1"/>
    <n v="2"/>
    <n v="0"/>
    <n v="0"/>
    <n v="7"/>
    <n v="5"/>
    <n v="12"/>
    <n v="8"/>
    <n v="12"/>
    <n v="10"/>
    <n v="14"/>
    <n v="4"/>
    <n v="4"/>
    <n v="0"/>
    <n v="0"/>
    <n v="0"/>
    <n v="0"/>
    <n v="11"/>
    <n v="4"/>
    <n v="0"/>
    <n v="0"/>
    <n v="0"/>
    <n v="0"/>
    <m/>
    <m/>
    <m/>
    <m/>
    <m/>
    <m/>
    <n v="3"/>
    <n v="13"/>
    <n v="7"/>
    <n v="8"/>
    <n v="2"/>
    <n v="4"/>
    <n v="0"/>
    <n v="0"/>
    <n v="0"/>
    <n v="0"/>
    <n v="11"/>
    <n v="4"/>
    <n v="0"/>
    <n v="0"/>
    <n v="0"/>
    <n v="0"/>
    <m/>
    <m/>
    <n v="56"/>
    <n v="63"/>
    <n v="119"/>
    <n v="63"/>
    <n v="68"/>
    <n v="131"/>
  </r>
  <r>
    <x v="3"/>
    <s v="Quezon City"/>
    <s v="School District X"/>
    <n v="305338"/>
    <s v="Maligaya HS"/>
    <s v="Ilang-Ilang Street"/>
    <s v="5th District"/>
    <x v="9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9"/>
    <n v="5"/>
    <n v="2"/>
    <n v="1"/>
    <n v="7"/>
    <n v="7"/>
    <n v="0"/>
    <n v="0"/>
    <n v="25"/>
    <n v="18"/>
    <n v="43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5"/>
    <n v="18"/>
    <n v="43"/>
  </r>
  <r>
    <x v="3"/>
    <s v="Quezon City"/>
    <s v="School District X"/>
    <n v="305339"/>
    <s v="North Fairview HS"/>
    <s v="Auburn North Fairview"/>
    <s v="5th District"/>
    <x v="10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7"/>
    <n v="5"/>
    <n v="9"/>
    <n v="8"/>
    <n v="8"/>
    <n v="25"/>
    <n v="29"/>
    <n v="0"/>
    <n v="0"/>
    <n v="44"/>
    <n v="53"/>
    <n v="97"/>
    <n v="1"/>
    <n v="6"/>
    <n v="3"/>
    <n v="7"/>
    <n v="8"/>
    <n v="5"/>
    <n v="6"/>
    <n v="2"/>
    <n v="0"/>
    <n v="0"/>
    <n v="14"/>
    <n v="12"/>
    <n v="0"/>
    <n v="0"/>
    <n v="0"/>
    <n v="0"/>
    <m/>
    <m/>
    <m/>
    <m/>
    <m/>
    <m/>
    <n v="0"/>
    <n v="0"/>
    <n v="8"/>
    <n v="6"/>
    <n v="0"/>
    <n v="0"/>
    <n v="6"/>
    <n v="4"/>
    <n v="0"/>
    <n v="0"/>
    <n v="9"/>
    <n v="6"/>
    <n v="0"/>
    <n v="0"/>
    <n v="0"/>
    <n v="0"/>
    <m/>
    <m/>
    <n v="55"/>
    <n v="48"/>
    <n v="103"/>
    <n v="99"/>
    <n v="101"/>
    <n v="200"/>
  </r>
  <r>
    <x v="3"/>
    <s v="Quezon City"/>
    <s v="School District X"/>
    <n v="401447"/>
    <s v="AMA Computer College-Farview"/>
    <s v="Blk 61, Lot 28-31, Bristol St. Cor. Regalado Ave., Brgy. North Fairview, Q.C.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  <n v="0"/>
    <m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m/>
    <m/>
    <n v="4"/>
    <n v="1"/>
    <n v="5"/>
    <n v="4"/>
    <n v="1"/>
    <n v="5"/>
  </r>
  <r>
    <x v="3"/>
    <s v="Quezon City"/>
    <s v="School District X"/>
    <n v="406460"/>
    <s v="Golden Valley Academy"/>
    <s v="1 Joyville Subd"/>
    <s v="5th District"/>
    <x v="7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06474"/>
    <s v="Divine Grace School"/>
    <s v="Ilang-ilang Street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1"/>
    <n v="1"/>
    <n v="0"/>
    <n v="0"/>
    <n v="0"/>
    <n v="0"/>
    <n v="0"/>
    <n v="0"/>
    <n v="0"/>
    <n v="0"/>
    <n v="0"/>
    <m/>
    <m/>
    <m/>
    <m/>
    <m/>
    <m/>
    <n v="0"/>
    <n v="0"/>
    <n v="0"/>
    <n v="0"/>
    <n v="2"/>
    <n v="0"/>
    <n v="0"/>
    <n v="0"/>
    <n v="0"/>
    <n v="0"/>
    <n v="0"/>
    <n v="0"/>
    <n v="0"/>
    <n v="0"/>
    <n v="0"/>
    <n v="0"/>
    <m/>
    <m/>
    <n v="5"/>
    <n v="3"/>
    <n v="8"/>
    <n v="5"/>
    <n v="3"/>
    <n v="8"/>
  </r>
  <r>
    <x v="3"/>
    <s v="Quezon City"/>
    <s v="School District X"/>
    <n v="406484"/>
    <s v="Our Lady of Fatima University"/>
    <s v="Hilltop Mansion, Lagro, Quezon City"/>
    <s v="5th District"/>
    <x v="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7"/>
    <n v="14"/>
    <n v="19"/>
    <n v="36"/>
    <n v="65"/>
    <n v="0"/>
    <n v="0"/>
    <n v="0"/>
    <n v="0"/>
    <n v="0"/>
    <n v="0"/>
    <n v="0"/>
    <n v="0"/>
    <n v="0"/>
    <n v="0"/>
    <m/>
    <m/>
    <m/>
    <m/>
    <m/>
    <m/>
    <n v="6"/>
    <n v="24"/>
    <n v="12"/>
    <n v="14"/>
    <n v="29"/>
    <n v="42"/>
    <n v="1"/>
    <n v="0"/>
    <n v="0"/>
    <n v="0"/>
    <n v="0"/>
    <n v="0"/>
    <n v="0"/>
    <n v="0"/>
    <n v="0"/>
    <n v="0"/>
    <m/>
    <m/>
    <n v="104"/>
    <n v="181"/>
    <n v="285"/>
    <n v="104"/>
    <n v="181"/>
    <n v="285"/>
  </r>
  <r>
    <x v="3"/>
    <s v="Quezon City"/>
    <s v="School District X"/>
    <n v="406485"/>
    <s v="Our Lady of Lourdes of Novaliches (OLLSN), Inc."/>
    <s v="9 Nightingale, 14 Woodpecker Streets, ,Zabarte Subdivision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3"/>
    <n v="0"/>
    <n v="0"/>
    <n v="0"/>
    <n v="0"/>
    <n v="0"/>
    <m/>
    <m/>
    <m/>
    <m/>
    <m/>
    <m/>
    <n v="2"/>
    <n v="1"/>
    <n v="1"/>
    <n v="2"/>
    <n v="0"/>
    <n v="0"/>
    <n v="0"/>
    <n v="0"/>
    <n v="0"/>
    <n v="0"/>
    <n v="5"/>
    <n v="2"/>
    <n v="0"/>
    <n v="0"/>
    <n v="0"/>
    <n v="0"/>
    <m/>
    <m/>
    <n v="13"/>
    <n v="6"/>
    <n v="19"/>
    <n v="13"/>
    <n v="6"/>
    <n v="19"/>
  </r>
  <r>
    <x v="3"/>
    <s v="Quezon City"/>
    <s v="School District X"/>
    <n v="406486"/>
    <s v="Sacred Heart Academy of Novaliches"/>
    <s v="1155 Quirino Highway, Kaligayahan, Q.C.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m/>
    <m/>
    <m/>
    <m/>
    <m/>
    <m/>
    <n v="0"/>
    <n v="2"/>
    <n v="1"/>
    <n v="1"/>
    <n v="0"/>
    <n v="1"/>
    <n v="0"/>
    <n v="0"/>
    <n v="0"/>
    <n v="0"/>
    <n v="0"/>
    <n v="0"/>
    <n v="0"/>
    <n v="0"/>
    <n v="0"/>
    <n v="0"/>
    <m/>
    <m/>
    <n v="2"/>
    <n v="6"/>
    <n v="8"/>
    <n v="2"/>
    <n v="6"/>
    <n v="8"/>
  </r>
  <r>
    <x v="3"/>
    <s v="Quezon City"/>
    <s v="School District X"/>
    <n v="406487"/>
    <s v="School of St. Anthony"/>
    <s v="Lagro QC"/>
    <s v="5th District"/>
    <x v="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2"/>
    <n v="2"/>
    <n v="4"/>
    <n v="2"/>
    <n v="2"/>
    <n v="4"/>
  </r>
  <r>
    <x v="3"/>
    <s v="Quezon City"/>
    <s v="School District X"/>
    <n v="406488"/>
    <s v="Saint Francis Xavier Catholic School"/>
    <s v="160 Champaca Street, Maligaya Park Subdivision, Novaliches"/>
    <s v="5th District"/>
    <x v="9"/>
    <s v="Private"/>
    <s v="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06493"/>
    <s v="St. Vincent de Paul Academy of Novaliches, Inc."/>
    <s v="Atrium St., Maligaya Park Subd., Pasong Putik, Nova., QC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5"/>
    <n v="1"/>
    <n v="1"/>
    <n v="0"/>
    <n v="0"/>
    <n v="0"/>
    <n v="0"/>
    <n v="2"/>
    <n v="0"/>
    <n v="0"/>
    <n v="0"/>
    <n v="0"/>
    <n v="0"/>
    <m/>
    <m/>
    <m/>
    <m/>
    <m/>
    <m/>
    <n v="2"/>
    <n v="0"/>
    <n v="0"/>
    <n v="4"/>
    <n v="1"/>
    <n v="0"/>
    <n v="0"/>
    <n v="0"/>
    <n v="0"/>
    <n v="0"/>
    <n v="0"/>
    <n v="0"/>
    <n v="0"/>
    <n v="0"/>
    <n v="0"/>
    <n v="0"/>
    <m/>
    <m/>
    <n v="9"/>
    <n v="12"/>
    <n v="21"/>
    <n v="9"/>
    <n v="12"/>
    <n v="21"/>
  </r>
  <r>
    <x v="3"/>
    <s v="Quezon City"/>
    <s v="School District X"/>
    <n v="406510"/>
    <s v="Covenant of Grace School"/>
    <s v="#6 Pearl St. East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07808"/>
    <s v="Jbest School of Technology and Practical Skills - Lagro, Inc."/>
    <s v="4th Floor Lester Bldg. Km. 22 Quirino Highway, Lagro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6"/>
    <n v="0"/>
    <n v="0"/>
    <n v="0"/>
    <n v="0"/>
    <n v="0"/>
    <n v="0"/>
    <n v="4"/>
    <n v="10"/>
    <n v="0"/>
    <n v="0"/>
    <n v="0"/>
    <n v="0"/>
    <m/>
    <m/>
    <m/>
    <m/>
    <m/>
    <m/>
    <n v="2"/>
    <n v="3"/>
    <n v="10"/>
    <n v="13"/>
    <n v="0"/>
    <n v="0"/>
    <n v="0"/>
    <n v="0"/>
    <n v="0"/>
    <n v="0"/>
    <n v="15"/>
    <n v="17"/>
    <n v="0"/>
    <n v="0"/>
    <n v="0"/>
    <n v="0"/>
    <m/>
    <m/>
    <n v="32"/>
    <n v="53"/>
    <n v="85"/>
    <n v="32"/>
    <n v="53"/>
    <n v="85"/>
  </r>
  <r>
    <x v="3"/>
    <s v="Quezon City"/>
    <s v="School District X"/>
    <n v="410119"/>
    <s v="The Steppingstone Progressivist School Inc."/>
    <s v="25 Cavalier Street, East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504"/>
    <s v="St. Mary's School of Novaliches, Inc."/>
    <s v="Olympus Drive, North Olympus Subdivision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4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6"/>
    <n v="0"/>
    <n v="6"/>
    <n v="6"/>
    <n v="0"/>
    <n v="6"/>
  </r>
  <r>
    <x v="3"/>
    <s v="Quezon City"/>
    <s v="School District X"/>
    <n v="482521"/>
    <s v="Another Home to Grow Academy Inc.,"/>
    <s v="24 Adrian Street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542"/>
    <s v="Sister Maria Carmela Brescia School"/>
    <s v="MC Greenfields I,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00"/>
    <s v="Virgen de Guadalupe de Novaliches"/>
    <s v="41 Sampaguita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11"/>
    <s v="School of St. Maximilian Mary Kolbe, Inc."/>
    <s v="Block 9 Lot 10 Atrium Street, Maligaya Park Subdivision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12"/>
    <s v="Beulah Land Christian School of Quezon City, Inc."/>
    <s v="Mary town Circle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14"/>
    <s v="Jean-Baptiste of Reims College"/>
    <s v="Olympus, Kaligayahan, Q.C.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17"/>
    <s v="St. Joseph School of Fairview, Inc."/>
    <s v="Atherton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19"/>
    <s v="Atherton School, Inc."/>
    <s v="Blk 64 Ph 8 Atherton St. North Fairview Subdivision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682"/>
    <s v="First Mile Christian School"/>
    <s v="Block 85 Lot 1, Peseta corner Riyal Streets, Phase 8, Fairview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719"/>
    <s v="Einstein School for Kids"/>
    <s v="Block 68 Lots 30-32, Hermano Mayor St., Lagro Novaliches, Qu"/>
    <s v="5th District"/>
    <x v="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730"/>
    <s v="MSA Whiz Kids Academy, Inc."/>
    <s v="17 Bituin St. Teresa Heights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"/>
    <n v="482821"/>
    <s v="Discovery House Montessori of Quezon City, Inc."/>
    <s v="59 Adrian Street, North Fairview Park Subdivision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06495"/>
    <s v="Achievers Academy of Q.C. Inc."/>
    <s v="14 Mustang Street, Fairview Park Subdivision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06500"/>
    <s v="Bethel Christian School of Fairview, Inc."/>
    <s v="366 Chestnut Street corner Republic Avenue, West Fairview"/>
    <s v="5th District"/>
    <x v="4"/>
    <s v="Private"/>
    <s v="Non-Sectarian "/>
    <s v="Mother school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1"/>
    <n v="2"/>
    <n v="3"/>
    <n v="1"/>
    <n v="2"/>
    <n v="3"/>
  </r>
  <r>
    <x v="3"/>
    <s v="Quezon City"/>
    <s v="School District XI"/>
    <n v="406512"/>
    <s v="Fairview Baptist Academy"/>
    <s v="B2 L2 Windsor cor. Peacock Sts.,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06521"/>
    <s v="Good Shepherd Cathedral School"/>
    <s v="Omega Avenue Corner Rado St."/>
    <s v="5th District"/>
    <x v="4"/>
    <s v="Private"/>
    <s v="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06557"/>
    <s v="Sisters of Mt. Carmel Catholic School, Inc."/>
    <s v="6 Carmel St., Fairview Park, Q.C."/>
    <s v="5th District"/>
    <x v="4"/>
    <s v="Private"/>
    <s v="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06570"/>
    <s v="(HIS) Hope Integrated School, Inc"/>
    <s v="#2 Iris St., Corner Dahlia Avenue West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0"/>
    <n v="0"/>
    <m/>
    <m/>
    <m/>
    <m/>
    <m/>
    <m/>
    <n v="0"/>
    <n v="0"/>
    <n v="1"/>
    <n v="0"/>
    <n v="0"/>
    <n v="1"/>
    <n v="0"/>
    <n v="0"/>
    <n v="0"/>
    <n v="0"/>
    <n v="0"/>
    <n v="0"/>
    <n v="0"/>
    <n v="0"/>
    <n v="0"/>
    <n v="0"/>
    <m/>
    <m/>
    <n v="3"/>
    <n v="4"/>
    <n v="7"/>
    <n v="3"/>
    <n v="4"/>
    <n v="7"/>
  </r>
  <r>
    <x v="3"/>
    <s v="Quezon City"/>
    <s v="School District XI"/>
    <n v="482522"/>
    <s v="Falcon School, Inc."/>
    <s v="Dahlia Ave. Fairview Park Subd., West Fairview, Quezon City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82544"/>
    <s v="The Lord of Grace Christian School, Inc."/>
    <s v="#30 Diamond Street, East Fairview, Quezon City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82620"/>
    <s v="Brain Integrated School, Inc."/>
    <s v="#6 Biscayne St.,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I"/>
    <n v="482727"/>
    <s v="Olympian Preparatory &amp; English School Inc."/>
    <s v="Lot 2 Block 179 Geneva Gardens, Mindanao. Avenue Extension, Neopolitan Subdivision, North Fairview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"/>
    <n v="410229"/>
    <s v="Jordan Woods Academy, Inc."/>
    <s v="Block 7 Lot 34 Don Mariano Marcos Avenue, Jordan Plains, Novaliches"/>
    <s v="5th District"/>
    <x v="1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6"/>
    <n v="24"/>
    <n v="20"/>
    <n v="18"/>
    <n v="15"/>
    <n v="1"/>
    <n v="2"/>
    <n v="0"/>
    <n v="0"/>
    <n v="26"/>
    <n v="19"/>
    <n v="0"/>
    <n v="0"/>
    <n v="0"/>
    <n v="0"/>
    <m/>
    <m/>
    <m/>
    <m/>
    <m/>
    <m/>
    <n v="5"/>
    <n v="11"/>
    <n v="5"/>
    <n v="8"/>
    <n v="3"/>
    <n v="5"/>
    <n v="3"/>
    <n v="1"/>
    <n v="0"/>
    <n v="0"/>
    <n v="14"/>
    <n v="14"/>
    <n v="0"/>
    <n v="0"/>
    <n v="0"/>
    <n v="0"/>
    <m/>
    <m/>
    <n v="104"/>
    <n v="111"/>
    <n v="215"/>
    <n v="104"/>
    <n v="111"/>
    <n v="215"/>
  </r>
  <r>
    <x v="3"/>
    <s v="Quezon City"/>
    <s v="School District XVI"/>
    <n v="136520"/>
    <s v="Bagbag Elementary School"/>
    <s v="L5 B5 RICHLAND 5 SUBDIVISION BARANGAY BAGBAG QUEZON CITY"/>
    <s v="5th District"/>
    <x v="5"/>
    <s v="Public"/>
    <s v="DepED Managed"/>
    <s v="School with no Annexes"/>
    <s v="No"/>
    <m/>
    <m/>
    <n v="0"/>
    <n v="2"/>
    <n v="0"/>
    <n v="0"/>
    <n v="2"/>
    <n v="3"/>
    <n v="0"/>
    <n v="0"/>
    <n v="0"/>
    <n v="0"/>
    <n v="0"/>
    <n v="0"/>
    <n v="1"/>
    <n v="1"/>
    <n v="0"/>
    <n v="0"/>
    <n v="3"/>
    <n v="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3"/>
    <n v="6"/>
    <n v="9"/>
  </r>
  <r>
    <x v="3"/>
    <s v="Quezon City"/>
    <s v="School District XVI"/>
    <n v="136521"/>
    <s v="Goodwill ES"/>
    <s v="-Noah St. Goodwill Homes II, Bagbag"/>
    <s v="5th District"/>
    <x v="5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"/>
    <n v="136523"/>
    <s v="Odelco Elementary School"/>
    <s v="Orange Street, Odelco Subdivision, Novaliches"/>
    <s v="5th District"/>
    <x v="6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"/>
    <n v="0"/>
    <n v="1"/>
  </r>
  <r>
    <x v="3"/>
    <s v="Quezon City"/>
    <s v="School District XVI"/>
    <n v="136525"/>
    <s v="San Bartolome ES"/>
    <s v="Quirino Highway"/>
    <s v="5th District"/>
    <x v="6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"/>
    <n v="406533"/>
    <s v="AccessComputer &amp; Technical Colleges (Lagro, Quirino Q.C.) Inc."/>
    <s v="Brgy Great Lagro"/>
    <s v="5th District"/>
    <x v="2"/>
    <s v="Private"/>
    <s v="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"/>
    <n v="482834"/>
    <s v="Escuela De Corazon of Quezon City, Inc."/>
    <s v="Block 2, Lot 6 Magsaysay Avenue, Doña Faustina Village, Novaliches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"/>
    <n v="482835"/>
    <s v="Little Stephanie Learning School, Inc."/>
    <s v="#111 P. Dela Cruz St.,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"/>
    <n v="482929"/>
    <s v="Our Lady of the Angels Seminary-College, Inc."/>
    <s v="Seminary Road, Novaliches"/>
    <s v="5th District"/>
    <x v="5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"/>
    <n v="482941"/>
    <s v="Little Anak Learning School, Inc."/>
    <s v="9 Silver St., Rockville Subdivision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136527"/>
    <s v="Dona Rosario Elementary School"/>
    <s v="Panday Pira Street"/>
    <s v="5th District"/>
    <x v="8"/>
    <s v="Public"/>
    <s v="DepED Managed"/>
    <s v="School with no Annexes"/>
    <s v="No"/>
    <m/>
    <m/>
    <n v="0"/>
    <n v="1"/>
    <n v="0"/>
    <n v="0"/>
    <n v="0"/>
    <n v="0"/>
    <n v="2"/>
    <n v="1"/>
    <n v="0"/>
    <n v="0"/>
    <n v="0"/>
    <n v="0"/>
    <n v="2"/>
    <n v="3"/>
    <n v="0"/>
    <n v="0"/>
    <n v="4"/>
    <n v="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5"/>
    <n v="9"/>
  </r>
  <r>
    <x v="3"/>
    <s v="Quezon City"/>
    <s v="School District XVII"/>
    <n v="136528"/>
    <s v="Rosa L. Susano - Novaliches ES"/>
    <s v="Gulod"/>
    <s v="5th District"/>
    <x v="3"/>
    <s v="Public"/>
    <s v="DepED Managed"/>
    <s v="School with no Annexes"/>
    <s v="No"/>
    <m/>
    <m/>
    <n v="7"/>
    <n v="12"/>
    <n v="11"/>
    <n v="9"/>
    <n v="14"/>
    <n v="13"/>
    <n v="25"/>
    <n v="14"/>
    <n v="33"/>
    <n v="41"/>
    <n v="47"/>
    <n v="50"/>
    <n v="60"/>
    <n v="66"/>
    <n v="1"/>
    <n v="3"/>
    <n v="198"/>
    <n v="208"/>
    <n v="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98"/>
    <n v="208"/>
    <n v="406"/>
  </r>
  <r>
    <x v="3"/>
    <s v="Quezon City"/>
    <s v="School District XVII"/>
    <n v="136529"/>
    <s v="San Gabriel ES"/>
    <s v="A. Bonifacio"/>
    <s v="5th District"/>
    <x v="0"/>
    <s v="Public"/>
    <s v="DepED Managed"/>
    <s v="School with no Annexes"/>
    <s v="No"/>
    <m/>
    <m/>
    <n v="0"/>
    <n v="0"/>
    <n v="0"/>
    <n v="0"/>
    <n v="0"/>
    <n v="0"/>
    <n v="0"/>
    <n v="0"/>
    <n v="2"/>
    <n v="2"/>
    <n v="6"/>
    <n v="4"/>
    <n v="0"/>
    <n v="0"/>
    <n v="1"/>
    <n v="0"/>
    <n v="9"/>
    <n v="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9"/>
    <n v="6"/>
    <n v="15"/>
  </r>
  <r>
    <x v="3"/>
    <s v="Quezon City"/>
    <s v="School District XVII"/>
    <n v="136530"/>
    <s v="Villa Verde Elementary School"/>
    <s v="Villa Verde Avenue, Villa Verde Homes"/>
    <s v="5th District"/>
    <x v="12"/>
    <s v="Public"/>
    <s v="DepED Managed"/>
    <s v="School with no Annexes"/>
    <s v="No"/>
    <m/>
    <m/>
    <n v="0"/>
    <n v="0"/>
    <n v="1"/>
    <n v="3"/>
    <n v="3"/>
    <n v="1"/>
    <n v="0"/>
    <n v="1"/>
    <n v="13"/>
    <n v="6"/>
    <n v="0"/>
    <n v="3"/>
    <n v="2"/>
    <n v="3"/>
    <n v="0"/>
    <n v="0"/>
    <n v="19"/>
    <n v="17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9"/>
    <n v="17"/>
    <n v="36"/>
  </r>
  <r>
    <x v="3"/>
    <s v="Quezon City"/>
    <s v="School District XVII"/>
    <n v="136538"/>
    <s v="San Agustin ES"/>
    <s v="Heavenly Dr. St. San Agustin,  Novaliches, Quezon City"/>
    <s v="5th District"/>
    <x v="7"/>
    <s v="Public"/>
    <s v="DepED Managed"/>
    <s v="School with no Annexes"/>
    <s v="No"/>
    <m/>
    <m/>
    <n v="1"/>
    <n v="1"/>
    <n v="1"/>
    <n v="0"/>
    <n v="0"/>
    <n v="0"/>
    <n v="0"/>
    <n v="0"/>
    <n v="1"/>
    <n v="1"/>
    <n v="5"/>
    <n v="3"/>
    <n v="1"/>
    <n v="2"/>
    <n v="0"/>
    <n v="0"/>
    <n v="9"/>
    <n v="7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9"/>
    <n v="7"/>
    <n v="16"/>
  </r>
  <r>
    <x v="3"/>
    <s v="Quezon City"/>
    <s v="School District XVII"/>
    <n v="340697"/>
    <s v="Jose Maria Panganiban Senior High School"/>
    <s v="Gulod Novaliches, Quezon City"/>
    <s v="5th District"/>
    <x v="3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5"/>
    <n v="3"/>
    <n v="0"/>
    <n v="0"/>
    <n v="0"/>
    <n v="0"/>
    <m/>
    <m/>
    <m/>
    <m/>
    <m/>
    <m/>
    <n v="0"/>
    <n v="0"/>
    <n v="0"/>
    <n v="2"/>
    <n v="0"/>
    <n v="0"/>
    <n v="0"/>
    <n v="0"/>
    <n v="0"/>
    <n v="0"/>
    <n v="1"/>
    <n v="4"/>
    <n v="0"/>
    <n v="0"/>
    <n v="0"/>
    <n v="0"/>
    <m/>
    <m/>
    <n v="9"/>
    <n v="11"/>
    <n v="20"/>
    <n v="9"/>
    <n v="11"/>
    <n v="20"/>
  </r>
  <r>
    <x v="3"/>
    <s v="Quezon City"/>
    <s v="School District XVII"/>
    <n v="409329"/>
    <s v="Capstone Highest Achiever Learning School Inc."/>
    <s v="Block 10 Lot 2 Queens Road corner Northwind Avenue Subdivision, Novaliches"/>
    <s v="5th District"/>
    <x v="1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09731"/>
    <s v="St. Anthony School of Sta. Lucia, Inc."/>
    <s v="33 F. Balagtas Street, Novaliches"/>
    <s v="5th District"/>
    <x v="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09737"/>
    <s v="Trinity Polytechnic College, Inc."/>
    <s v="892 Alfina Building, Quirino Highway"/>
    <s v="5th District"/>
    <x v="3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7"/>
    <n v="6"/>
    <n v="6"/>
    <n v="4"/>
    <n v="8"/>
    <n v="0"/>
    <n v="1"/>
    <n v="0"/>
    <n v="0"/>
    <n v="9"/>
    <n v="11"/>
    <n v="0"/>
    <n v="0"/>
    <n v="0"/>
    <n v="0"/>
    <m/>
    <m/>
    <m/>
    <m/>
    <m/>
    <m/>
    <n v="3"/>
    <n v="12"/>
    <n v="16"/>
    <n v="17"/>
    <n v="10"/>
    <n v="10"/>
    <n v="6"/>
    <n v="4"/>
    <n v="0"/>
    <n v="0"/>
    <n v="11"/>
    <n v="11"/>
    <n v="0"/>
    <n v="0"/>
    <n v="0"/>
    <n v="0"/>
    <m/>
    <m/>
    <n v="68"/>
    <n v="87"/>
    <n v="155"/>
    <n v="68"/>
    <n v="87"/>
    <n v="155"/>
  </r>
  <r>
    <x v="3"/>
    <s v="Quezon City"/>
    <s v="School District XVII"/>
    <n v="482836"/>
    <s v="John Mark Christian School of Nova., Inc."/>
    <s v="#29 Petronia St., Buenamar Subd. Novaliches Q.C"/>
    <s v="5th District"/>
    <x v="8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82887"/>
    <s v="Brother Sun Sister Moon Academy, Inc."/>
    <s v="001 J.P. Rizal Street, Novaliches"/>
    <s v="5th District"/>
    <x v="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82890"/>
    <s v="School of the Corpus Christi (Quezon City), Inc."/>
    <s v="L5B2, Atis Cor. Avocado Rds.,  Phase 1-A, Palmera,"/>
    <s v="5th District"/>
    <x v="1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82963"/>
    <s v="St. Alexis Community School of QC., Inc"/>
    <s v="#27 Diego Silang St., Rivera Ville"/>
    <s v="5th District"/>
    <x v="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82978"/>
    <s v="Kingsville Learning Center, Inc."/>
    <s v="6 Diego Silang St., Sta Lucia, Nova."/>
    <s v="5th District"/>
    <x v="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"/>
    <n v="482980"/>
    <s v="Divine Trinity Learning Academy, Inc."/>
    <s v="28 Jewel Street, Forest Hills Subdivision, Novaliches"/>
    <s v="5th District"/>
    <x v="3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136531"/>
    <s v="Damong Maliit ES"/>
    <s v="#18 Trinidad Avenue, Nagkaisang Nayon"/>
    <s v="5th District"/>
    <x v="11"/>
    <s v="Public"/>
    <s v="DepED Managed"/>
    <s v="School with no Annexes"/>
    <s v="No"/>
    <m/>
    <m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"/>
    <n v="0"/>
    <n v="2"/>
  </r>
  <r>
    <x v="3"/>
    <s v="Quezon City"/>
    <s v="School District XVIII"/>
    <n v="136532"/>
    <s v="Delfin M. Geraldez Memorial ES"/>
    <s v="12 Salvia St., Kaligayahan"/>
    <s v="5th District"/>
    <x v="1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136533"/>
    <s v="Kaligayahan ES"/>
    <s v="Rivera Compound"/>
    <s v="5th District"/>
    <x v="1"/>
    <s v="Public"/>
    <s v="DepED Managed"/>
    <s v="School with no Annexes"/>
    <s v="No"/>
    <m/>
    <m/>
    <n v="0"/>
    <n v="0"/>
    <n v="0"/>
    <n v="0"/>
    <n v="0"/>
    <n v="1"/>
    <n v="3"/>
    <n v="2"/>
    <n v="0"/>
    <n v="0"/>
    <n v="0"/>
    <n v="2"/>
    <n v="2"/>
    <n v="6"/>
    <n v="0"/>
    <n v="0"/>
    <n v="5"/>
    <n v="1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5"/>
    <n v="11"/>
    <n v="16"/>
  </r>
  <r>
    <x v="3"/>
    <s v="Quezon City"/>
    <s v="School District XVIII"/>
    <n v="136534"/>
    <s v="Lagro ES"/>
    <s v="Ascension Ave."/>
    <s v="5th District"/>
    <x v="2"/>
    <s v="Public"/>
    <s v="DepED Managed"/>
    <s v="School with no Annexes"/>
    <s v="No"/>
    <m/>
    <m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"/>
    <n v="0"/>
    <n v="1"/>
  </r>
  <r>
    <x v="3"/>
    <s v="Quezon City"/>
    <s v="School District XVIII"/>
    <n v="136535"/>
    <s v="Maligaya ES"/>
    <s v="Ilang-Ilang Pasong Putik Proper QC"/>
    <s v="5th District"/>
    <x v="9"/>
    <s v="Public"/>
    <s v="DepED Managed"/>
    <s v="School with no Annexes"/>
    <s v="No"/>
    <m/>
    <m/>
    <n v="1"/>
    <n v="0"/>
    <n v="0"/>
    <n v="1"/>
    <n v="2"/>
    <n v="2"/>
    <n v="2"/>
    <n v="7"/>
    <n v="3"/>
    <n v="5"/>
    <n v="6"/>
    <n v="14"/>
    <n v="3"/>
    <n v="5"/>
    <n v="0"/>
    <n v="0"/>
    <n v="17"/>
    <n v="34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7"/>
    <n v="34"/>
    <n v="51"/>
  </r>
  <r>
    <x v="3"/>
    <s v="Quezon City"/>
    <s v="School District XVIII"/>
    <n v="136536"/>
    <s v="Nagkaisang Nayon ES"/>
    <s v="-Mayon St.,Brgy Nagkaisang Nayon Q. C."/>
    <s v="5th District"/>
    <x v="11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2"/>
    <n v="0"/>
    <n v="2"/>
    <n v="2"/>
    <n v="0"/>
    <n v="0"/>
    <n v="4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4"/>
    <n v="2"/>
    <n v="6"/>
  </r>
  <r>
    <x v="3"/>
    <s v="Quezon City"/>
    <s v="School District XVIII"/>
    <n v="136537"/>
    <s v="North Fairview ES"/>
    <s v="Avon St.,Cor. Astor"/>
    <s v="5th District"/>
    <x v="10"/>
    <s v="Public"/>
    <s v="DepED Managed"/>
    <s v="School with no Annexes"/>
    <s v="No"/>
    <m/>
    <m/>
    <n v="1"/>
    <n v="2"/>
    <n v="0"/>
    <n v="0"/>
    <n v="0"/>
    <n v="0"/>
    <n v="6"/>
    <n v="8"/>
    <n v="1"/>
    <n v="2"/>
    <n v="5"/>
    <n v="3"/>
    <n v="4"/>
    <n v="9"/>
    <n v="0"/>
    <n v="0"/>
    <n v="17"/>
    <n v="24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7"/>
    <n v="24"/>
    <n v="41"/>
  </r>
  <r>
    <x v="3"/>
    <s v="Quezon City"/>
    <s v="School District XVIII"/>
    <n v="136543"/>
    <s v="Fairview ES"/>
    <s v="Fairlane St. Fairview Quezon City"/>
    <s v="5th District"/>
    <x v="4"/>
    <s v="Public"/>
    <s v="DepED Managed"/>
    <s v="School with no Annexes"/>
    <s v="No"/>
    <m/>
    <m/>
    <n v="0"/>
    <n v="1"/>
    <n v="0"/>
    <n v="0"/>
    <n v="1"/>
    <n v="2"/>
    <n v="4"/>
    <n v="2"/>
    <n v="11"/>
    <n v="6"/>
    <n v="4"/>
    <n v="2"/>
    <n v="0"/>
    <n v="0"/>
    <n v="1"/>
    <n v="0"/>
    <n v="21"/>
    <n v="13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21"/>
    <n v="13"/>
    <n v="34"/>
  </r>
  <r>
    <x v="3"/>
    <s v="Quezon City"/>
    <s v="School District XVIII"/>
    <n v="222501"/>
    <s v="West Fairview Elementary School"/>
    <s v="Austin St. West Fairview"/>
    <s v="5th District"/>
    <x v="13"/>
    <s v="Public"/>
    <s v="DepED Managed"/>
    <s v="School with no Annexes"/>
    <s v="No"/>
    <m/>
    <m/>
    <n v="5"/>
    <n v="6"/>
    <n v="1"/>
    <n v="0"/>
    <n v="4"/>
    <n v="5"/>
    <n v="2"/>
    <n v="2"/>
    <n v="1"/>
    <n v="2"/>
    <n v="0"/>
    <n v="0"/>
    <n v="3"/>
    <n v="0"/>
    <n v="0"/>
    <n v="0"/>
    <n v="16"/>
    <n v="15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16"/>
    <n v="15"/>
    <n v="31"/>
  </r>
  <r>
    <x v="3"/>
    <s v="Quezon City"/>
    <s v="School District XVIII"/>
    <n v="305635"/>
    <s v="West Fairview High School"/>
    <s v="Austin Street, Fairview Park"/>
    <s v="5th District"/>
    <x v="4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2"/>
    <n v="2"/>
  </r>
  <r>
    <x v="3"/>
    <s v="Quezon City"/>
    <s v="School District XVIII"/>
    <n v="406492"/>
    <s v="St. Theresa's School of Novaliches, Inc."/>
    <s v="7 KIngfisher Street, Zabarte Subdivision, Novaliches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1"/>
    <n v="0"/>
    <n v="0"/>
    <n v="0"/>
    <n v="0"/>
    <n v="0"/>
    <n v="0"/>
    <n v="0"/>
    <n v="0"/>
    <n v="0"/>
    <n v="0"/>
    <m/>
    <m/>
    <n v="1"/>
    <n v="4"/>
    <n v="5"/>
    <n v="1"/>
    <n v="4"/>
    <n v="5"/>
  </r>
  <r>
    <x v="3"/>
    <s v="Quezon City"/>
    <s v="School District XVIII"/>
    <n v="408390"/>
    <s v="Active Thinkers Child Development, Inc."/>
    <s v="41 Mustang Street, Greater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08616"/>
    <s v="JLM  Creative Learner's Home, Inc."/>
    <s v="The Redwoods Condominium, Quirino Highway corner Regalado Avenue, Novaliches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08783"/>
    <s v="The Growing Place Learning Center, Inc."/>
    <s v="12 Fiat Street,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08809"/>
    <s v="Jone Paul Christian School, Inc."/>
    <s v="313 Sitio Urlina Republic Ave., West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08851"/>
    <s v="Integrated Innovation and Hospitality Colleges, Inc."/>
    <s v="C. I. Plaza Building, Zabarte Road, Novaliches"/>
    <s v="5th District"/>
    <x v="1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5"/>
    <n v="1"/>
    <n v="6"/>
    <n v="0"/>
    <n v="1"/>
    <n v="0"/>
    <n v="0"/>
    <n v="1"/>
    <n v="0"/>
    <n v="0"/>
    <n v="0"/>
    <n v="0"/>
    <n v="0"/>
    <m/>
    <m/>
    <m/>
    <m/>
    <m/>
    <m/>
    <n v="0"/>
    <n v="1"/>
    <n v="6"/>
    <n v="11"/>
    <n v="4"/>
    <n v="11"/>
    <n v="0"/>
    <n v="0"/>
    <n v="0"/>
    <n v="0"/>
    <n v="3"/>
    <n v="2"/>
    <n v="0"/>
    <n v="0"/>
    <n v="0"/>
    <n v="0"/>
    <m/>
    <m/>
    <n v="17"/>
    <n v="38"/>
    <n v="55"/>
    <n v="17"/>
    <n v="38"/>
    <n v="55"/>
  </r>
  <r>
    <x v="3"/>
    <s v="Quezon City"/>
    <s v="School District XVIII"/>
    <n v="409734"/>
    <s v="Lincoln School of Arts and Languages Inc."/>
    <s v="Lot 2 &amp; 4, Block 229, Mindanao Avenue, Extension, Neopolitan Subdivision"/>
    <s v="5th District"/>
    <x v="9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1"/>
    <n v="1"/>
    <n v="0"/>
    <n v="1"/>
    <n v="1"/>
  </r>
  <r>
    <x v="3"/>
    <s v="Quezon City"/>
    <s v="School District XVIII"/>
    <n v="409888"/>
    <s v="Johnryn Learning School of Quezon City"/>
    <s v="Block 213 Lot 21 Yuan Street, Phase 8 North Fairview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82709"/>
    <s v="Operation Brotherhood Montessori Center"/>
    <s v="Napoli St, Neopolitan IV, Brittany Subd."/>
    <s v="5th District"/>
    <x v="6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82716"/>
    <s v="The Raya School, Inc."/>
    <s v="Lot 3 Block 8 Sorrento Street, Neopolitan Business Park, Novaliches"/>
    <s v="5th District"/>
    <x v="2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82891"/>
    <s v="The Fountain of Life School of Quezon City, Inc."/>
    <s v="433 Drachma Street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3"/>
    <s v="Quezon City"/>
    <s v="School District XVIII"/>
    <n v="482971"/>
    <s v="Datamex - College of Saint Adeline, Inc."/>
    <s v="Datamex Bldg., 5 Commonwealth Avenue"/>
    <s v="5th District"/>
    <x v="4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34"/>
    <n v="56"/>
    <n v="54"/>
    <n v="22"/>
    <n v="21"/>
    <n v="5"/>
    <n v="6"/>
    <n v="0"/>
    <n v="0"/>
    <n v="52"/>
    <n v="55"/>
    <n v="0"/>
    <n v="0"/>
    <n v="0"/>
    <n v="0"/>
    <m/>
    <m/>
    <m/>
    <m/>
    <m/>
    <m/>
    <n v="0"/>
    <n v="6"/>
    <n v="8"/>
    <n v="11"/>
    <n v="3"/>
    <n v="4"/>
    <n v="4"/>
    <n v="3"/>
    <n v="0"/>
    <n v="0"/>
    <n v="8"/>
    <n v="7"/>
    <n v="0"/>
    <n v="0"/>
    <n v="0"/>
    <n v="0"/>
    <m/>
    <m/>
    <n v="172"/>
    <n v="201"/>
    <n v="373"/>
    <n v="172"/>
    <n v="201"/>
    <n v="373"/>
  </r>
  <r>
    <x v="3"/>
    <s v="Quezon City"/>
    <s v="School District XVIII"/>
    <n v="482987"/>
    <s v="Affordable Private Education Center, Inc. -North Fairview"/>
    <s v="Lot 10 Block 43, Regalado Avenue"/>
    <s v="5th District"/>
    <x v="10"/>
    <s v="Private"/>
    <s v="Non-Sectarian 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m/>
    <m/>
    <m/>
    <m/>
    <m/>
    <m/>
    <n v="0"/>
    <n v="0"/>
    <n v="0"/>
    <n v="0"/>
    <n v="2"/>
    <n v="0"/>
    <n v="0"/>
    <n v="0"/>
    <n v="0"/>
    <n v="0"/>
    <n v="0"/>
    <n v="0"/>
    <n v="0"/>
    <n v="0"/>
    <n v="0"/>
    <n v="0"/>
    <m/>
    <m/>
    <n v="2"/>
    <n v="2"/>
    <n v="4"/>
    <n v="2"/>
    <n v="2"/>
    <n v="4"/>
  </r>
  <r>
    <x v="3"/>
    <s v="Quezon City"/>
    <s v="School District XIX"/>
    <n v="360867"/>
    <s v="Leandro Locsin Integrated School"/>
    <s v="Rivera Compound"/>
    <s v="5th District"/>
    <x v="1"/>
    <s v="Public"/>
    <s v="DepED Managed"/>
    <s v="School with no Annexes"/>
    <s v="No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1"/>
    <n v="2"/>
    <n v="7"/>
    <n v="1"/>
    <n v="2"/>
    <n v="0"/>
    <n v="4"/>
    <n v="0"/>
    <n v="0"/>
    <n v="3"/>
    <n v="4"/>
    <n v="0"/>
    <n v="0"/>
    <n v="0"/>
    <n v="0"/>
    <m/>
    <m/>
    <m/>
    <m/>
    <m/>
    <m/>
    <n v="0"/>
    <n v="3"/>
    <n v="2"/>
    <n v="4"/>
    <n v="3"/>
    <n v="1"/>
    <n v="5"/>
    <n v="4"/>
    <n v="0"/>
    <n v="0"/>
    <n v="5"/>
    <n v="0"/>
    <n v="0"/>
    <n v="0"/>
    <n v="0"/>
    <n v="0"/>
    <m/>
    <m/>
    <n v="21"/>
    <n v="30"/>
    <n v="51"/>
    <n v="22"/>
    <n v="30"/>
    <n v="52"/>
  </r>
  <r>
    <x v="4"/>
    <s v="Quezon City"/>
    <s v="School District I"/>
    <n v="340690"/>
    <s v="Sta. Lucia Senior High School"/>
    <s v="A. Mabini Street, Novaliches"/>
    <s v="5th District"/>
    <x v="0"/>
    <s v="Public"/>
    <s v="DepED Managed"/>
    <m/>
    <m/>
    <m/>
    <s v="JHS with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7"/>
    <n v="7"/>
    <n v="16"/>
    <n v="0"/>
    <n v="0"/>
    <n v="0"/>
    <n v="0"/>
    <n v="0"/>
    <n v="0"/>
    <n v="14"/>
    <n v="13"/>
    <n v="0"/>
    <n v="0"/>
    <n v="0"/>
    <n v="0"/>
    <n v="0"/>
    <n v="0"/>
    <m/>
    <m/>
    <m/>
    <m/>
    <n v="2"/>
    <n v="1"/>
    <n v="3"/>
    <n v="9"/>
    <n v="0"/>
    <n v="0"/>
    <n v="0"/>
    <n v="0"/>
    <n v="0"/>
    <n v="0"/>
    <n v="9"/>
    <n v="9"/>
    <n v="0"/>
    <n v="0"/>
    <n v="0"/>
    <n v="0"/>
    <n v="0"/>
    <n v="0"/>
    <n v="35"/>
    <n v="55"/>
    <n v="90"/>
    <n v="35"/>
    <n v="55"/>
    <n v="90"/>
  </r>
  <r>
    <x v="4"/>
    <s v="Quezon City"/>
    <s v="School District I"/>
    <n v="401453"/>
    <s v="Bestlink College of the Philippines"/>
    <s v="762 Topaz corner Sapphire Street, Millionares Village, San Agustin"/>
    <s v="5th District"/>
    <x v="1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7"/>
    <n v="7"/>
    <n v="11"/>
    <n v="2"/>
    <n v="7"/>
    <n v="3"/>
    <n v="2"/>
    <n v="0"/>
    <n v="0"/>
    <n v="5"/>
    <n v="3"/>
    <n v="0"/>
    <n v="0"/>
    <n v="0"/>
    <n v="0"/>
    <n v="0"/>
    <n v="0"/>
    <m/>
    <m/>
    <m/>
    <m/>
    <n v="9"/>
    <n v="15"/>
    <n v="28"/>
    <n v="24"/>
    <n v="15"/>
    <n v="16"/>
    <n v="6"/>
    <n v="4"/>
    <n v="0"/>
    <n v="1"/>
    <n v="29"/>
    <n v="12"/>
    <n v="0"/>
    <n v="0"/>
    <n v="0"/>
    <n v="0"/>
    <n v="0"/>
    <n v="0"/>
    <n v="104"/>
    <n v="102"/>
    <n v="206"/>
    <n v="104"/>
    <n v="102"/>
    <n v="206"/>
  </r>
  <r>
    <x v="4"/>
    <s v="Quezon City"/>
    <s v="School District I"/>
    <n v="401486"/>
    <s v="Integrated Innovation and Hospitality Colleges, Inc."/>
    <s v="Buenamar Street"/>
    <s v="5th District"/>
    <x v="8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4"/>
    <n v="0"/>
    <n v="0"/>
    <n v="0"/>
    <n v="0"/>
    <n v="1"/>
    <n v="5"/>
    <n v="0"/>
    <n v="0"/>
    <n v="11"/>
    <n v="17"/>
    <n v="0"/>
    <n v="0"/>
    <n v="0"/>
    <n v="0"/>
    <n v="0"/>
    <n v="0"/>
    <m/>
    <m/>
    <m/>
    <m/>
    <n v="1"/>
    <n v="2"/>
    <n v="0"/>
    <n v="0"/>
    <n v="0"/>
    <n v="0"/>
    <n v="1"/>
    <n v="4"/>
    <n v="0"/>
    <n v="0"/>
    <n v="6"/>
    <n v="10"/>
    <n v="0"/>
    <n v="0"/>
    <n v="0"/>
    <n v="0"/>
    <n v="0"/>
    <n v="0"/>
    <n v="21"/>
    <n v="42"/>
    <n v="63"/>
    <n v="21"/>
    <n v="42"/>
    <n v="63"/>
  </r>
  <r>
    <x v="4"/>
    <s v="Quezon City"/>
    <s v="School District I"/>
    <n v="401495"/>
    <s v="National Polytechnic College of Science and Technology-Lagro"/>
    <s v="Blk. 125, Lot 22, Quirino Highway, Lagro, Quezon City"/>
    <s v="5th District"/>
    <x v="2"/>
    <s v="Private"/>
    <s v="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8"/>
    <n v="8"/>
    <n v="0"/>
    <n v="0"/>
    <n v="0"/>
    <n v="0"/>
    <n v="0"/>
    <n v="0"/>
    <m/>
    <m/>
    <m/>
    <m/>
    <n v="0"/>
    <n v="0"/>
    <n v="0"/>
    <n v="0"/>
    <n v="0"/>
    <n v="0"/>
    <n v="0"/>
    <n v="0"/>
    <n v="0"/>
    <n v="0"/>
    <n v="18"/>
    <n v="9"/>
    <n v="0"/>
    <n v="0"/>
    <n v="0"/>
    <n v="0"/>
    <n v="0"/>
    <n v="0"/>
    <n v="46"/>
    <n v="17"/>
    <n v="63"/>
    <n v="46"/>
    <n v="17"/>
    <n v="63"/>
  </r>
  <r>
    <x v="4"/>
    <s v="Quezon City"/>
    <s v="School District I"/>
    <n v="401500"/>
    <s v="National Polytechnic College of Science and Technology-Novaliches"/>
    <s v="Blk 4 Lot 7 Palm Street, Greenfields 1 Subd., Novaliches, Quezon City"/>
    <s v="5th District"/>
    <x v="3"/>
    <s v="Private"/>
    <s v="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3"/>
    <n v="3"/>
    <n v="7"/>
    <n v="7"/>
    <n v="0"/>
    <n v="0"/>
    <n v="0"/>
    <n v="0"/>
    <n v="0"/>
    <n v="0"/>
    <n v="0"/>
    <n v="0"/>
    <n v="0"/>
    <n v="0"/>
    <n v="0"/>
    <n v="0"/>
    <n v="0"/>
    <n v="0"/>
    <m/>
    <m/>
    <m/>
    <m/>
    <n v="0"/>
    <n v="3"/>
    <n v="11"/>
    <n v="17"/>
    <n v="0"/>
    <n v="0"/>
    <n v="5"/>
    <n v="4"/>
    <n v="0"/>
    <n v="0"/>
    <n v="0"/>
    <n v="0"/>
    <n v="0"/>
    <n v="0"/>
    <n v="0"/>
    <n v="0"/>
    <n v="0"/>
    <n v="0"/>
    <n v="26"/>
    <n v="34"/>
    <n v="60"/>
    <n v="26"/>
    <n v="34"/>
    <n v="60"/>
  </r>
  <r>
    <x v="4"/>
    <s v="Quezon City"/>
    <s v="School District I"/>
    <n v="409925"/>
    <s v="Electron College of Technical Education Corporation"/>
    <s v="CPE Building, Commonwealth Avenue,"/>
    <s v="5th District"/>
    <x v="4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4"/>
    <n v="10"/>
    <n v="0"/>
    <n v="0"/>
    <n v="0"/>
    <n v="0"/>
    <n v="1"/>
    <n v="4"/>
    <n v="0"/>
    <n v="0"/>
    <n v="0"/>
    <n v="0"/>
    <n v="0"/>
    <n v="0"/>
    <n v="0"/>
    <n v="0"/>
    <n v="0"/>
    <n v="0"/>
    <m/>
    <m/>
    <m/>
    <m/>
    <n v="0"/>
    <n v="2"/>
    <n v="0"/>
    <n v="0"/>
    <n v="0"/>
    <n v="0"/>
    <n v="2"/>
    <n v="2"/>
    <n v="0"/>
    <n v="0"/>
    <n v="0"/>
    <n v="0"/>
    <n v="0"/>
    <n v="0"/>
    <n v="0"/>
    <n v="0"/>
    <n v="0"/>
    <n v="0"/>
    <n v="7"/>
    <n v="18"/>
    <n v="25"/>
    <n v="7"/>
    <n v="18"/>
    <n v="25"/>
  </r>
  <r>
    <x v="4"/>
    <s v="Quezon City"/>
    <s v="School District I"/>
    <n v="410227"/>
    <s v="NU Fairview Incorporated"/>
    <s v="SM Fairview Complex, Quirino Highway corner Regalado"/>
    <s v="5th District"/>
    <x v="2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6"/>
    <n v="1"/>
    <n v="1"/>
    <n v="1"/>
    <n v="8"/>
    <n v="0"/>
    <n v="0"/>
    <n v="0"/>
    <n v="0"/>
    <n v="0"/>
    <n v="0"/>
    <n v="0"/>
    <n v="0"/>
    <n v="0"/>
    <n v="0"/>
    <n v="0"/>
    <n v="0"/>
    <m/>
    <m/>
    <m/>
    <m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4"/>
    <n v="15"/>
    <n v="19"/>
    <n v="4"/>
    <n v="15"/>
    <n v="19"/>
  </r>
  <r>
    <x v="4"/>
    <s v="Quezon City"/>
    <s v="School District IV"/>
    <n v="410465"/>
    <s v="South East-Asia Institute of Trade and Technology Inc."/>
    <s v="JB Crystal Building Lots 36-38, Quirino Highway"/>
    <s v="5th District"/>
    <x v="2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6"/>
    <n v="24"/>
    <n v="32"/>
    <n v="29"/>
    <n v="0"/>
    <n v="0"/>
    <n v="0"/>
    <n v="2"/>
    <n v="0"/>
    <n v="0"/>
    <n v="0"/>
    <n v="0"/>
    <n v="0"/>
    <n v="0"/>
    <n v="0"/>
    <n v="0"/>
    <n v="0"/>
    <n v="0"/>
    <m/>
    <m/>
    <m/>
    <m/>
    <n v="9"/>
    <n v="20"/>
    <n v="27"/>
    <n v="24"/>
    <n v="0"/>
    <n v="0"/>
    <n v="0"/>
    <n v="0"/>
    <n v="0"/>
    <n v="0"/>
    <n v="0"/>
    <n v="0"/>
    <n v="0"/>
    <n v="0"/>
    <n v="0"/>
    <n v="0"/>
    <n v="0"/>
    <n v="0"/>
    <n v="74"/>
    <n v="99"/>
    <n v="173"/>
    <n v="74"/>
    <n v="99"/>
    <n v="173"/>
  </r>
  <r>
    <x v="4"/>
    <s v="Quezon City"/>
    <s v="School District V"/>
    <n v="409926"/>
    <s v="Electron College of Technical Education Corporation"/>
    <s v="661 Electron Building, Quirino Highway, Novaliches"/>
    <s v="5th District"/>
    <x v="5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3"/>
    <n v="14"/>
    <n v="28"/>
    <n v="31"/>
    <n v="18"/>
    <n v="14"/>
    <n v="5"/>
    <n v="0"/>
    <n v="0"/>
    <n v="0"/>
    <n v="21"/>
    <n v="39"/>
    <n v="0"/>
    <n v="0"/>
    <n v="0"/>
    <n v="0"/>
    <n v="0"/>
    <n v="0"/>
    <m/>
    <m/>
    <m/>
    <m/>
    <n v="2"/>
    <n v="1"/>
    <n v="14"/>
    <n v="9"/>
    <n v="2"/>
    <n v="4"/>
    <n v="2"/>
    <n v="2"/>
    <n v="0"/>
    <n v="0"/>
    <n v="12"/>
    <n v="6"/>
    <n v="0"/>
    <n v="0"/>
    <n v="0"/>
    <n v="0"/>
    <n v="0"/>
    <n v="0"/>
    <n v="107"/>
    <n v="120"/>
    <n v="227"/>
    <n v="107"/>
    <n v="120"/>
    <n v="227"/>
  </r>
  <r>
    <x v="4"/>
    <s v="Quezon City"/>
    <s v="School District V"/>
    <n v="410825"/>
    <s v="SLDM Colleges of Quezon City Inc."/>
    <s v="B1 L1 Salvador Avenue corner Quirino Highway, Jordan Plains"/>
    <s v="5th District"/>
    <x v="12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1"/>
    <n v="2"/>
    <n v="3"/>
    <n v="1"/>
    <n v="2"/>
    <n v="3"/>
  </r>
  <r>
    <x v="4"/>
    <s v="Quezon City"/>
    <s v="School District VI"/>
    <n v="406457"/>
    <s v="Springfield School of Novaliches"/>
    <s v="726 Quirino Highway"/>
    <s v="5th District"/>
    <x v="6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m/>
    <m/>
    <m/>
    <m/>
    <n v="2"/>
    <n v="3"/>
    <n v="2"/>
    <n v="0"/>
    <n v="2"/>
    <n v="2"/>
    <n v="0"/>
    <n v="0"/>
    <n v="0"/>
    <n v="0"/>
    <n v="0"/>
    <n v="0"/>
    <n v="0"/>
    <n v="0"/>
    <n v="0"/>
    <n v="0"/>
    <n v="0"/>
    <n v="0"/>
    <n v="10"/>
    <n v="5"/>
    <n v="15"/>
    <n v="10"/>
    <n v="5"/>
    <n v="15"/>
  </r>
  <r>
    <x v="4"/>
    <s v="Quezon City"/>
    <s v="School District VI"/>
    <n v="406458"/>
    <s v="St. John of Beverley School"/>
    <s v="749 Quirino Highway"/>
    <s v="5th District"/>
    <x v="6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VIII"/>
    <n v="305341"/>
    <s v="San Bartolome HS"/>
    <s v="Holy Cross Rd."/>
    <s v="5th District"/>
    <x v="6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7"/>
    <n v="10"/>
    <n v="7"/>
    <n v="5"/>
    <n v="0"/>
    <n v="0"/>
    <n v="17"/>
    <n v="16"/>
    <n v="33"/>
    <n v="0"/>
    <n v="2"/>
    <n v="4"/>
    <n v="1"/>
    <n v="3"/>
    <n v="1"/>
    <n v="0"/>
    <n v="0"/>
    <n v="0"/>
    <n v="0"/>
    <n v="1"/>
    <n v="3"/>
    <n v="0"/>
    <n v="0"/>
    <n v="0"/>
    <n v="0"/>
    <n v="0"/>
    <n v="0"/>
    <m/>
    <m/>
    <m/>
    <m/>
    <n v="1"/>
    <n v="2"/>
    <n v="2"/>
    <n v="4"/>
    <n v="1"/>
    <n v="1"/>
    <n v="0"/>
    <n v="0"/>
    <n v="0"/>
    <n v="0"/>
    <n v="2"/>
    <n v="5"/>
    <n v="0"/>
    <n v="0"/>
    <n v="0"/>
    <n v="0"/>
    <n v="0"/>
    <n v="0"/>
    <n v="14"/>
    <n v="19"/>
    <n v="33"/>
    <n v="31"/>
    <n v="35"/>
    <n v="66"/>
  </r>
  <r>
    <x v="4"/>
    <s v="Quezon City"/>
    <s v="School District VIII"/>
    <n v="406446"/>
    <s v="Colegio de San Bartolome de Novaliches, Inc."/>
    <s v="Quirino Highway corner P. Dela Cruz Street, Novaliches"/>
    <s v="5th District"/>
    <x v="6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VIII"/>
    <n v="406451"/>
    <s v="Little Shepherd Child Development Center,"/>
    <s v="B.6 L 30-31 st James st. San Pedro Subd. 7 San Bartolome Nov"/>
    <s v="5th District"/>
    <x v="6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VIII"/>
    <n v="482569"/>
    <s v="Resurrection Catholic School"/>
    <s v="Pagkabuhay Road"/>
    <s v="5th District"/>
    <x v="5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VIII"/>
    <n v="482792"/>
    <s v="Saint Nicholas of Bari School"/>
    <s v="Franco Comp.Holy Cross Road San Bartolome"/>
    <s v="5th District"/>
    <x v="6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IX"/>
    <n v="305340"/>
    <s v="Novaliches HS"/>
    <s v="Lakandula"/>
    <s v="5th District"/>
    <x v="7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4"/>
    <n v="5"/>
    <n v="10"/>
    <n v="5"/>
    <n v="15"/>
    <n v="22"/>
    <n v="15"/>
    <n v="0"/>
    <n v="0"/>
    <n v="64"/>
    <n v="64"/>
    <n v="128"/>
    <n v="1"/>
    <n v="5"/>
    <n v="4"/>
    <n v="7"/>
    <n v="2"/>
    <n v="3"/>
    <n v="0"/>
    <n v="0"/>
    <n v="0"/>
    <n v="0"/>
    <n v="12"/>
    <n v="2"/>
    <n v="0"/>
    <n v="0"/>
    <n v="0"/>
    <n v="0"/>
    <n v="0"/>
    <n v="0"/>
    <m/>
    <m/>
    <m/>
    <m/>
    <n v="9"/>
    <n v="5"/>
    <n v="5"/>
    <n v="12"/>
    <n v="3"/>
    <n v="4"/>
    <n v="0"/>
    <n v="0"/>
    <n v="0"/>
    <n v="0"/>
    <n v="10"/>
    <n v="7"/>
    <n v="0"/>
    <n v="0"/>
    <n v="0"/>
    <n v="0"/>
    <n v="0"/>
    <n v="0"/>
    <n v="46"/>
    <n v="45"/>
    <n v="91"/>
    <n v="110"/>
    <n v="109"/>
    <n v="219"/>
  </r>
  <r>
    <x v="4"/>
    <s v="Quezon City"/>
    <s v="School District IX"/>
    <n v="305342"/>
    <s v="Sta. Lucia HS"/>
    <s v="J.P. Rizal Street, Novaliches"/>
    <s v="5th District"/>
    <x v="0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7"/>
    <n v="26"/>
    <n v="21"/>
    <n v="16"/>
    <n v="28"/>
    <n v="32"/>
    <n v="47"/>
    <n v="0"/>
    <n v="0"/>
    <n v="91"/>
    <n v="113"/>
    <n v="2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91"/>
    <n v="113"/>
    <n v="204"/>
  </r>
  <r>
    <x v="4"/>
    <s v="Quezon City"/>
    <s v="School District IX"/>
    <n v="319504"/>
    <s v="Dona Rosario HS"/>
    <s v="P. Urduja Street"/>
    <s v="5th District"/>
    <x v="8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33"/>
    <n v="2"/>
    <n v="8"/>
    <n v="19"/>
    <n v="21"/>
    <n v="42"/>
    <n v="45"/>
    <n v="0"/>
    <n v="0"/>
    <n v="91"/>
    <n v="107"/>
    <n v="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91"/>
    <n v="107"/>
    <n v="198"/>
  </r>
  <r>
    <x v="4"/>
    <s v="Quezon City"/>
    <s v="School District IX"/>
    <n v="406462"/>
    <s v="Grace Montessori School of Novaliches"/>
    <s v="15N. Abelardo St., Doña Rosario Subd. Novaliches, QuezonCity"/>
    <s v="5th District"/>
    <x v="8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2"/>
    <n v="5"/>
    <n v="7"/>
    <n v="2"/>
    <n v="5"/>
    <n v="7"/>
  </r>
  <r>
    <x v="4"/>
    <s v="Quezon City"/>
    <s v="School District IX"/>
    <n v="406463"/>
    <s v="Holy Child Academy- Main"/>
    <s v="10 London Drive"/>
    <s v="5th District"/>
    <x v="3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4"/>
    <n v="0"/>
    <n v="2"/>
    <n v="0"/>
    <n v="3"/>
    <n v="0"/>
    <n v="0"/>
    <n v="0"/>
    <n v="0"/>
    <n v="0"/>
    <n v="0"/>
    <n v="0"/>
    <n v="0"/>
    <n v="0"/>
    <n v="0"/>
    <n v="0"/>
    <n v="0"/>
    <m/>
    <m/>
    <m/>
    <m/>
    <n v="0"/>
    <n v="0"/>
    <n v="2"/>
    <n v="0"/>
    <n v="2"/>
    <n v="2"/>
    <n v="4"/>
    <n v="0"/>
    <n v="0"/>
    <n v="0"/>
    <n v="0"/>
    <n v="0"/>
    <n v="0"/>
    <n v="0"/>
    <n v="0"/>
    <n v="0"/>
    <n v="0"/>
    <n v="0"/>
    <n v="8"/>
    <n v="11"/>
    <n v="19"/>
    <n v="8"/>
    <n v="11"/>
    <n v="19"/>
  </r>
  <r>
    <x v="4"/>
    <s v="Quezon City"/>
    <s v="School District IX"/>
    <n v="406472"/>
    <s v="Sto. Nino de Novaliches School"/>
    <s v="Buenamar Street"/>
    <s v="5th District"/>
    <x v="8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IX"/>
    <n v="482540"/>
    <s v="St. Patrick School of Novaliches, Inc."/>
    <s v="#16 Jewel St. Forest Hills Subd."/>
    <s v="5th District"/>
    <x v="3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IX"/>
    <n v="482606"/>
    <s v="Sto. Nino Children Educational Center, Inc."/>
    <s v="Blk 10, Lot 6, Durian Street"/>
    <s v="5th District"/>
    <x v="12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IX"/>
    <n v="482607"/>
    <s v="Bloomridge Integrated School"/>
    <s v="248 Gen. Luis Street"/>
    <s v="5th District"/>
    <x v="8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IX"/>
    <n v="482771"/>
    <s v="Heuin Dol World Mission Christian Academy"/>
    <s v="25 Villaflor Village, Gulod, Novaliches Quezon City"/>
    <s v="5th District"/>
    <x v="3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IX"/>
    <n v="482813"/>
    <s v="Gymnazo Christian Academy, Inc."/>
    <s v="Block 52 Lot 3, Jose Abad Santos St., Brgy. Sta. Lucia, Novaliches, Quezon City"/>
    <s v="5th District"/>
    <x v="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305336"/>
    <s v="Lagro HS"/>
    <s v="Misa de Gallo St. cor. Ascension Ave., Brgy. Greater Lagro,"/>
    <s v="5th District"/>
    <x v="2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1"/>
    <n v="6"/>
    <n v="6"/>
    <n v="0"/>
    <n v="0"/>
    <n v="8"/>
    <n v="11"/>
    <n v="19"/>
    <n v="1"/>
    <n v="6"/>
    <n v="3"/>
    <n v="6"/>
    <n v="2"/>
    <n v="8"/>
    <n v="0"/>
    <n v="0"/>
    <n v="0"/>
    <n v="0"/>
    <n v="9"/>
    <n v="8"/>
    <n v="0"/>
    <n v="0"/>
    <n v="0"/>
    <n v="0"/>
    <n v="0"/>
    <n v="0"/>
    <m/>
    <m/>
    <m/>
    <m/>
    <n v="8"/>
    <n v="10"/>
    <n v="6"/>
    <n v="16"/>
    <n v="5"/>
    <n v="4"/>
    <n v="0"/>
    <n v="0"/>
    <n v="0"/>
    <n v="0"/>
    <n v="15"/>
    <n v="8"/>
    <n v="0"/>
    <n v="0"/>
    <n v="0"/>
    <n v="0"/>
    <n v="0"/>
    <n v="0"/>
    <n v="49"/>
    <n v="66"/>
    <n v="115"/>
    <n v="57"/>
    <n v="77"/>
    <n v="134"/>
  </r>
  <r>
    <x v="4"/>
    <s v="Quezon City"/>
    <s v="School District X"/>
    <n v="305338"/>
    <s v="Maligaya HS"/>
    <s v="Ilang-Ilang Street"/>
    <s v="5th District"/>
    <x v="9"/>
    <s v="Public"/>
    <s v="DepED Managed"/>
    <m/>
    <m/>
    <m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2"/>
    <n v="1"/>
    <n v="2"/>
    <n v="0"/>
    <n v="0"/>
    <n v="5"/>
    <n v="10"/>
    <n v="0"/>
    <n v="0"/>
    <n v="19"/>
    <n v="24"/>
    <n v="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9"/>
    <n v="24"/>
    <n v="43"/>
  </r>
  <r>
    <x v="4"/>
    <s v="Quezon City"/>
    <s v="School District X"/>
    <n v="305339"/>
    <s v="North Fairview HS"/>
    <s v="Auburn North Fairview"/>
    <s v="5th District"/>
    <x v="10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4"/>
    <n v="1"/>
    <n v="2"/>
    <n v="9"/>
    <n v="7"/>
    <n v="3"/>
    <n v="5"/>
    <n v="0"/>
    <n v="0"/>
    <n v="15"/>
    <n v="18"/>
    <n v="33"/>
    <n v="3"/>
    <n v="4"/>
    <n v="4"/>
    <n v="8"/>
    <n v="3"/>
    <n v="12"/>
    <n v="1"/>
    <n v="2"/>
    <n v="0"/>
    <n v="0"/>
    <n v="12"/>
    <n v="7"/>
    <n v="0"/>
    <n v="0"/>
    <n v="0"/>
    <n v="0"/>
    <n v="0"/>
    <n v="0"/>
    <m/>
    <m/>
    <m/>
    <m/>
    <n v="0"/>
    <n v="6"/>
    <n v="4"/>
    <n v="9"/>
    <n v="8"/>
    <n v="5"/>
    <n v="6"/>
    <n v="2"/>
    <n v="0"/>
    <n v="0"/>
    <n v="15"/>
    <n v="13"/>
    <n v="0"/>
    <n v="0"/>
    <n v="0"/>
    <n v="0"/>
    <n v="0"/>
    <n v="0"/>
    <n v="56"/>
    <n v="68"/>
    <n v="124"/>
    <n v="71"/>
    <n v="86"/>
    <n v="157"/>
  </r>
  <r>
    <x v="4"/>
    <s v="Quezon City"/>
    <s v="School District X"/>
    <n v="401447"/>
    <s v="AMA Computer College-Farview"/>
    <s v="Blk 61, Lot 28-31, Bristol St. Cor. Regalado Ave., Brgy. North Fairview, Q.C."/>
    <s v="5th District"/>
    <x v="10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1"/>
    <n v="2"/>
    <n v="1"/>
    <n v="1"/>
    <n v="0"/>
    <n v="0"/>
    <n v="0"/>
    <n v="0"/>
    <n v="2"/>
    <n v="0"/>
    <n v="0"/>
    <n v="0"/>
    <n v="0"/>
    <n v="0"/>
    <n v="0"/>
    <n v="0"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5"/>
    <n v="3"/>
    <n v="8"/>
    <n v="5"/>
    <n v="3"/>
    <n v="8"/>
  </r>
  <r>
    <x v="4"/>
    <s v="Quezon City"/>
    <s v="School District X"/>
    <n v="406460"/>
    <s v="Golden Valley Academy"/>
    <s v="1 Joyville Subd"/>
    <s v="5th District"/>
    <x v="7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06464"/>
    <s v="International Christian School of Quezon City, Inc."/>
    <s v="103 General Luis Street, Novaliches"/>
    <s v="5th District"/>
    <x v="11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2"/>
    <n v="2"/>
    <n v="1"/>
    <n v="1"/>
    <n v="1"/>
    <n v="0"/>
    <n v="0"/>
    <n v="0"/>
    <n v="0"/>
    <n v="0"/>
    <n v="0"/>
    <n v="0"/>
    <n v="0"/>
    <n v="0"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7"/>
    <n v="4"/>
    <n v="3"/>
    <n v="7"/>
  </r>
  <r>
    <x v="4"/>
    <s v="Quezon City"/>
    <s v="School District X"/>
    <n v="406471"/>
    <s v="St. Francis Divine College"/>
    <s v="St. Dominic No 12 Salvia street Novaliches Quezon City"/>
    <s v="5th District"/>
    <x v="1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06474"/>
    <s v="Divine Grace School"/>
    <s v="Ilang-ilang Street"/>
    <s v="5th District"/>
    <x v="9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5"/>
    <n v="2"/>
    <n v="0"/>
    <n v="3"/>
    <n v="3"/>
    <n v="1"/>
    <n v="0"/>
    <n v="1"/>
    <n v="0"/>
    <n v="0"/>
    <n v="0"/>
    <n v="0"/>
    <n v="0"/>
    <n v="0"/>
    <n v="0"/>
    <n v="0"/>
    <n v="0"/>
    <n v="0"/>
    <m/>
    <m/>
    <m/>
    <m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11"/>
    <n v="9"/>
    <n v="20"/>
    <n v="11"/>
    <n v="9"/>
    <n v="20"/>
  </r>
  <r>
    <x v="4"/>
    <s v="Quezon City"/>
    <s v="School District X"/>
    <n v="406476"/>
    <s v="Ina ng Buhay Catholic School, Inc."/>
    <s v="Jordan Heights Subdivision, Damong Maliit, Novaliches"/>
    <s v="5th District"/>
    <x v="11"/>
    <s v="Private"/>
    <s v="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06484"/>
    <s v="Our Lady of Fatima University"/>
    <s v="Hilltop Mansion, Lagro, Quezon City"/>
    <s v="5th District"/>
    <x v="2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2"/>
    <n v="12"/>
    <n v="10"/>
    <n v="10"/>
    <n v="24"/>
    <n v="39"/>
    <n v="0"/>
    <n v="0"/>
    <n v="0"/>
    <n v="0"/>
    <n v="0"/>
    <n v="0"/>
    <n v="0"/>
    <n v="0"/>
    <n v="0"/>
    <n v="0"/>
    <n v="0"/>
    <n v="0"/>
    <m/>
    <m/>
    <m/>
    <m/>
    <n v="5"/>
    <n v="16"/>
    <n v="10"/>
    <n v="17"/>
    <n v="38"/>
    <n v="67"/>
    <n v="0"/>
    <n v="0"/>
    <n v="0"/>
    <n v="0"/>
    <n v="0"/>
    <n v="0"/>
    <n v="0"/>
    <n v="0"/>
    <n v="0"/>
    <n v="0"/>
    <n v="0"/>
    <n v="0"/>
    <n v="89"/>
    <n v="161"/>
    <n v="250"/>
    <n v="89"/>
    <n v="161"/>
    <n v="250"/>
  </r>
  <r>
    <x v="4"/>
    <s v="Quezon City"/>
    <s v="School District X"/>
    <n v="406485"/>
    <s v="Our Lady of Lourdes of Novaliches (OLLSN), Inc."/>
    <s v="9 Nightingale, 14 Woodpecker Streets, ,Zabarte Subdivision"/>
    <s v="5th District"/>
    <x v="1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1"/>
    <n v="2"/>
    <n v="0"/>
    <n v="3"/>
    <n v="2"/>
    <n v="0"/>
    <n v="0"/>
    <n v="0"/>
    <n v="0"/>
    <n v="0"/>
    <n v="1"/>
    <n v="0"/>
    <n v="0"/>
    <n v="0"/>
    <n v="0"/>
    <n v="0"/>
    <n v="0"/>
    <m/>
    <m/>
    <m/>
    <m/>
    <n v="2"/>
    <n v="1"/>
    <n v="0"/>
    <n v="1"/>
    <n v="0"/>
    <n v="0"/>
    <n v="0"/>
    <n v="0"/>
    <n v="0"/>
    <n v="0"/>
    <n v="3"/>
    <n v="0"/>
    <n v="0"/>
    <n v="0"/>
    <n v="0"/>
    <n v="0"/>
    <n v="0"/>
    <n v="0"/>
    <n v="11"/>
    <n v="6"/>
    <n v="17"/>
    <n v="11"/>
    <n v="6"/>
    <n v="17"/>
  </r>
  <r>
    <x v="4"/>
    <s v="Quezon City"/>
    <s v="School District X"/>
    <n v="406486"/>
    <s v="Sacred Heart Academy of Novaliches"/>
    <s v="1155 Quirino Highway, Kaligayahan, Q.C."/>
    <s v="5th District"/>
    <x v="1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2"/>
    <n v="2"/>
    <n v="1"/>
    <n v="0"/>
    <n v="0"/>
    <n v="0"/>
    <n v="1"/>
    <n v="0"/>
    <n v="0"/>
    <n v="0"/>
    <n v="1"/>
    <n v="0"/>
    <n v="0"/>
    <n v="0"/>
    <n v="0"/>
    <n v="0"/>
    <n v="0"/>
    <m/>
    <m/>
    <m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2"/>
    <n v="7"/>
    <n v="9"/>
    <n v="2"/>
    <n v="7"/>
    <n v="9"/>
  </r>
  <r>
    <x v="4"/>
    <s v="Quezon City"/>
    <s v="School District X"/>
    <n v="406487"/>
    <s v="School of St. Anthony"/>
    <s v="Lagro QC"/>
    <s v="5th District"/>
    <x v="2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2"/>
    <n v="2"/>
    <n v="4"/>
    <n v="2"/>
    <n v="2"/>
    <n v="4"/>
  </r>
  <r>
    <x v="4"/>
    <s v="Quezon City"/>
    <s v="School District X"/>
    <n v="406488"/>
    <s v="Saint Francis Xavier Catholic School"/>
    <s v="160 Champaca Street, Maligaya Park Subdivision, Novaliches"/>
    <s v="5th District"/>
    <x v="9"/>
    <s v="Private"/>
    <s v="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</r>
  <r>
    <x v="4"/>
    <s v="Quezon City"/>
    <s v="School District X"/>
    <n v="406493"/>
    <s v="St. Vincent de Paul Academy of Novaliches, Inc."/>
    <s v="Atrium St., Maligaya Park Subd., Pasong Putik, Nova., QC"/>
    <s v="5th District"/>
    <x v="9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2"/>
    <n v="5"/>
    <n v="2"/>
    <n v="0"/>
    <n v="2"/>
    <n v="0"/>
    <n v="0"/>
    <n v="0"/>
    <n v="0"/>
    <n v="2"/>
    <n v="0"/>
    <n v="0"/>
    <n v="0"/>
    <n v="0"/>
    <n v="0"/>
    <n v="0"/>
    <n v="0"/>
    <m/>
    <m/>
    <m/>
    <m/>
    <n v="3"/>
    <n v="3"/>
    <n v="1"/>
    <n v="4"/>
    <n v="1"/>
    <n v="1"/>
    <n v="0"/>
    <n v="0"/>
    <n v="0"/>
    <n v="0"/>
    <n v="2"/>
    <n v="0"/>
    <n v="0"/>
    <n v="0"/>
    <n v="0"/>
    <n v="0"/>
    <n v="0"/>
    <n v="0"/>
    <n v="14"/>
    <n v="14"/>
    <n v="28"/>
    <n v="14"/>
    <n v="14"/>
    <n v="28"/>
  </r>
  <r>
    <x v="4"/>
    <s v="Quezon City"/>
    <s v="School District X"/>
    <n v="406510"/>
    <s v="Covenant of Grace School"/>
    <s v="#6 Pearl St. East Fairview"/>
    <s v="5th District"/>
    <x v="4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07808"/>
    <s v="Jbest School of Technology and Practical Skills - Lagro, Inc."/>
    <s v="4th Floor Lester Bldg. Km. 22 Quirino Highway, Lagro"/>
    <s v="5th District"/>
    <x v="9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3"/>
    <n v="1"/>
    <n v="3"/>
    <n v="0"/>
    <n v="0"/>
    <n v="0"/>
    <n v="0"/>
    <n v="0"/>
    <n v="0"/>
    <n v="2"/>
    <n v="9"/>
    <n v="0"/>
    <n v="0"/>
    <n v="0"/>
    <n v="0"/>
    <n v="0"/>
    <n v="0"/>
    <m/>
    <m/>
    <m/>
    <m/>
    <n v="0"/>
    <n v="4"/>
    <n v="1"/>
    <n v="6"/>
    <n v="0"/>
    <n v="0"/>
    <n v="0"/>
    <n v="0"/>
    <n v="0"/>
    <n v="0"/>
    <n v="4"/>
    <n v="7"/>
    <n v="0"/>
    <n v="0"/>
    <n v="0"/>
    <n v="0"/>
    <n v="0"/>
    <n v="0"/>
    <n v="8"/>
    <n v="32"/>
    <n v="40"/>
    <n v="8"/>
    <n v="32"/>
    <n v="40"/>
  </r>
  <r>
    <x v="4"/>
    <s v="Quezon City"/>
    <s v="School District X"/>
    <n v="410119"/>
    <s v="The Steppingstone Progressivist School Inc."/>
    <s v="25 Cavalier Street, East Fairview"/>
    <s v="5th District"/>
    <x v="4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504"/>
    <s v="St. Mary's School of Novaliches, Inc."/>
    <s v="Olympus Drive, North Olympus Subdivision"/>
    <s v="5th District"/>
    <x v="1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  <m/>
    <m/>
    <m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6"/>
    <n v="0"/>
    <n v="6"/>
    <n v="6"/>
    <n v="0"/>
    <n v="6"/>
  </r>
  <r>
    <x v="4"/>
    <s v="Quezon City"/>
    <s v="School District X"/>
    <n v="482521"/>
    <s v="Another Home to Grow Academy Inc.,"/>
    <s v="24 Adrian Street"/>
    <s v="5th District"/>
    <x v="1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542"/>
    <s v="Sister Maria Carmela Brescia School"/>
    <s v="MC Greenfields I,"/>
    <s v="5th District"/>
    <x v="1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00"/>
    <s v="Virgen de Guadalupe de Novaliches"/>
    <s v="41 Sampaguita"/>
    <s v="5th District"/>
    <x v="9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11"/>
    <s v="School of St. Maximilian Mary Kolbe, Inc."/>
    <s v="Block 9 Lot 10 Atrium Street, Maligaya Park Subdivision"/>
    <s v="5th District"/>
    <x v="9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12"/>
    <s v="Beulah Land Christian College, Inc."/>
    <s v="Mary town Circle"/>
    <s v="5th District"/>
    <x v="1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14"/>
    <s v="Jean-Baptiste of Reims College"/>
    <s v="Olympus, Kaligayahan, Q.C."/>
    <s v="5th District"/>
    <x v="1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17"/>
    <s v="St. Joseph School of Fairview, Inc."/>
    <s v="Atherton"/>
    <s v="5th District"/>
    <x v="10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19"/>
    <s v="Atherton School, Inc."/>
    <s v="Blk 64 Ph 8 Atherton St. North Fairview Subdivision"/>
    <s v="5th District"/>
    <x v="10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682"/>
    <s v="First Mile Christian School"/>
    <s v="Block 85 Lot 1, Peseta corner Riyal Streets, Phase 8, Fairview"/>
    <s v="5th District"/>
    <x v="10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719"/>
    <s v="Einstein School for Kids"/>
    <s v="Block 68 Lots 30-32, Hermano Mayor St., Lagro Novaliches, Qu"/>
    <s v="5th District"/>
    <x v="2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730"/>
    <s v="MSA Whiz Kids Academy, Inc."/>
    <s v="17 Bituin St. Teresa Heights"/>
    <s v="5th District"/>
    <x v="9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"/>
    <n v="482821"/>
    <s v="Discovery House Montessori of Quezon City, Inc."/>
    <s v="59 Adrian Street, North Fairview Park Subdivision"/>
    <s v="5th District"/>
    <x v="1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06495"/>
    <s v="Achievers Academy of Q.C. Inc."/>
    <s v="14 Mustang Street, Fairview Park Subdivision"/>
    <s v="5th District"/>
    <x v="4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06500"/>
    <s v="Bethel Christian School of Fairview, Inc."/>
    <s v="366 Chestnut Street corner Republic Avenue, West Fairview"/>
    <s v="5th District"/>
    <x v="4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4"/>
    <n v="1"/>
    <n v="0"/>
    <n v="2"/>
    <n v="0"/>
    <n v="0"/>
    <n v="0"/>
    <n v="0"/>
    <n v="0"/>
    <n v="0"/>
    <n v="0"/>
    <n v="0"/>
    <n v="0"/>
    <n v="0"/>
    <n v="0"/>
    <n v="0"/>
    <m/>
    <m/>
    <m/>
    <m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5"/>
    <n v="5"/>
    <n v="10"/>
    <n v="5"/>
    <n v="5"/>
    <n v="10"/>
  </r>
  <r>
    <x v="4"/>
    <s v="Quezon City"/>
    <s v="School District XI"/>
    <n v="406512"/>
    <s v="Fairview Baptist Academy"/>
    <s v="B2 L2 Windsor cor. Peacock Sts.,"/>
    <s v="5th District"/>
    <x v="4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06521"/>
    <s v="Good Shepherd Cathedral School"/>
    <s v="Omega Avenue Corner Rado St."/>
    <s v="5th District"/>
    <x v="4"/>
    <s v="Private"/>
    <s v="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06557"/>
    <s v="Sisters of Mt. Carmel Catholic School, Inc."/>
    <s v="6 Carmel St., Fairview Park, Q.C."/>
    <s v="5th District"/>
    <x v="4"/>
    <s v="Private"/>
    <s v="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06570"/>
    <s v="(HIS) Hope Integrated School, Inc"/>
    <s v="#2 Iris St., Corner Dahlia Avenue West Fairview"/>
    <s v="5th District"/>
    <x v="4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m/>
    <m/>
    <m/>
    <m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3"/>
    <n v="5"/>
    <n v="8"/>
    <n v="3"/>
    <n v="5"/>
    <n v="8"/>
  </r>
  <r>
    <x v="4"/>
    <s v="Quezon City"/>
    <s v="School District XI"/>
    <n v="482522"/>
    <s v="Falcon School, Inc."/>
    <s v="Dahlia Ave. Fairview Park Subd., West Fairview, Quezon City"/>
    <s v="5th District"/>
    <x v="4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82544"/>
    <s v="The Lord of Grace Christian School, Inc."/>
    <s v="#30 Diamond Street, East Fairview, Quezon City"/>
    <s v="5th District"/>
    <x v="4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I"/>
    <n v="482620"/>
    <s v="Brain Integrated School, Inc."/>
    <s v="#6 Biscayne St.,"/>
    <s v="5th District"/>
    <x v="4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"/>
    <n v="410229"/>
    <s v="Jordan Woods Academy, Inc."/>
    <s v="36/38"/>
    <s v="5th District"/>
    <x v="12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8"/>
    <n v="11"/>
    <n v="11"/>
    <n v="15"/>
    <n v="4"/>
    <n v="10"/>
    <n v="0"/>
    <n v="3"/>
    <n v="0"/>
    <n v="0"/>
    <n v="19"/>
    <n v="18"/>
    <n v="0"/>
    <n v="0"/>
    <n v="0"/>
    <n v="0"/>
    <n v="0"/>
    <n v="0"/>
    <m/>
    <m/>
    <m/>
    <m/>
    <n v="5"/>
    <n v="13"/>
    <n v="19"/>
    <n v="19"/>
    <n v="17"/>
    <n v="13"/>
    <n v="2"/>
    <n v="2"/>
    <n v="0"/>
    <n v="0"/>
    <n v="23"/>
    <n v="17"/>
    <n v="0"/>
    <n v="0"/>
    <n v="0"/>
    <n v="0"/>
    <n v="0"/>
    <n v="0"/>
    <n v="108"/>
    <n v="121"/>
    <n v="229"/>
    <n v="108"/>
    <n v="121"/>
    <n v="229"/>
  </r>
  <r>
    <x v="4"/>
    <s v="Quezon City"/>
    <s v="School District XVI"/>
    <n v="136520"/>
    <s v="Bagbag Elementary School"/>
    <s v="L5 B5 RICHLAND 5 SUBDIVISION BARANGAY BAGBAG QUEZON CITY"/>
    <s v="5th District"/>
    <x v="5"/>
    <s v="Public"/>
    <s v="DepED Managed"/>
    <m/>
    <m/>
    <m/>
    <s v="Purely ES"/>
    <n v="1"/>
    <n v="0"/>
    <n v="0"/>
    <n v="0"/>
    <n v="3"/>
    <n v="4"/>
    <n v="2"/>
    <n v="0"/>
    <n v="1"/>
    <n v="1"/>
    <n v="1"/>
    <n v="2"/>
    <n v="2"/>
    <n v="1"/>
    <n v="0"/>
    <n v="0"/>
    <n v="10"/>
    <n v="8"/>
    <n v="18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0"/>
    <n v="8"/>
    <n v="18"/>
  </r>
  <r>
    <x v="4"/>
    <s v="Quezon City"/>
    <s v="School District XVI"/>
    <n v="136521"/>
    <s v="Goodwill ES"/>
    <s v="-Noah St. Goodwill Homes II, Bagbag"/>
    <s v="5th District"/>
    <x v="5"/>
    <s v="Public"/>
    <s v="DepED Managed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"/>
    <n v="136523"/>
    <s v="Odelco Elementary School"/>
    <s v="Orange Street, Odelco Subdivision, Novaliches"/>
    <s v="5th District"/>
    <x v="6"/>
    <s v="Public"/>
    <s v="DepED Managed"/>
    <m/>
    <m/>
    <m/>
    <s v="Purely ES"/>
    <n v="5"/>
    <n v="1"/>
    <n v="1"/>
    <n v="2"/>
    <n v="1"/>
    <n v="1"/>
    <n v="5"/>
    <n v="9"/>
    <n v="8"/>
    <n v="3"/>
    <n v="6"/>
    <n v="9"/>
    <n v="8"/>
    <n v="6"/>
    <n v="0"/>
    <n v="2"/>
    <n v="34"/>
    <n v="33"/>
    <n v="67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4"/>
    <n v="33"/>
    <n v="67"/>
  </r>
  <r>
    <x v="4"/>
    <s v="Quezon City"/>
    <s v="School District XVI"/>
    <n v="136525"/>
    <s v="San Bartolome ES"/>
    <s v="Quirino Highway"/>
    <s v="5th District"/>
    <x v="6"/>
    <s v="Public"/>
    <s v="DepED Managed"/>
    <m/>
    <m/>
    <m/>
    <s v="Purely ES"/>
    <n v="1"/>
    <n v="2"/>
    <n v="0"/>
    <n v="0"/>
    <n v="0"/>
    <n v="0"/>
    <n v="0"/>
    <n v="0"/>
    <n v="0"/>
    <n v="0"/>
    <n v="0"/>
    <n v="0"/>
    <n v="0"/>
    <n v="2"/>
    <n v="0"/>
    <n v="0"/>
    <n v="1"/>
    <n v="4"/>
    <n v="5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"/>
    <n v="4"/>
    <n v="5"/>
  </r>
  <r>
    <x v="4"/>
    <s v="Quezon City"/>
    <s v="School District XVI"/>
    <n v="482834"/>
    <s v="Escuela De Corazon of Quezon City, Inc."/>
    <s v="Block 2, Lot 6 Magsaysay Avenue, Doña Faustina Village, Novaliches"/>
    <s v="5th District"/>
    <x v="6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"/>
    <n v="482835"/>
    <s v="Little Stephanie Learning School, Inc."/>
    <s v="#111 P. Dela Cruz St.,"/>
    <s v="5th District"/>
    <x v="6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"/>
    <n v="482929"/>
    <s v="Our Lady of the Angels Seminary-College, Inc."/>
    <s v="Seminary Road, Novaliches"/>
    <s v="5th District"/>
    <x v="5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2"/>
    <n v="2"/>
    <n v="0"/>
    <n v="2"/>
  </r>
  <r>
    <x v="4"/>
    <s v="Quezon City"/>
    <s v="School District XVI"/>
    <n v="482941"/>
    <s v="Little Anak Learning School, Inc."/>
    <s v="9 Silver St., Rockville Subdivision"/>
    <s v="5th District"/>
    <x v="6"/>
    <s v="Private"/>
    <s v="Non-Sectarian "/>
    <m/>
    <m/>
    <m/>
    <s v="ES and JHS (K to 10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136527"/>
    <s v="Dona Rosario Elementary School"/>
    <s v="Panday Pira Street"/>
    <s v="5th District"/>
    <x v="8"/>
    <s v="Public"/>
    <s v="DepED Managed"/>
    <m/>
    <m/>
    <m/>
    <s v="Purely ES"/>
    <n v="0"/>
    <n v="0"/>
    <n v="1"/>
    <n v="0"/>
    <n v="0"/>
    <n v="0"/>
    <n v="4"/>
    <n v="3"/>
    <n v="0"/>
    <n v="0"/>
    <n v="0"/>
    <n v="0"/>
    <n v="3"/>
    <n v="4"/>
    <n v="0"/>
    <n v="0"/>
    <n v="8"/>
    <n v="7"/>
    <n v="15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8"/>
    <n v="7"/>
    <n v="15"/>
  </r>
  <r>
    <x v="4"/>
    <s v="Quezon City"/>
    <s v="School District XVII"/>
    <n v="136528"/>
    <s v="Rosa L. Susano - Novaliches ES"/>
    <s v="Gulod"/>
    <s v="5th District"/>
    <x v="3"/>
    <s v="Public"/>
    <s v="DepED Managed"/>
    <m/>
    <m/>
    <m/>
    <s v="Purely ES"/>
    <n v="15"/>
    <n v="8"/>
    <n v="18"/>
    <n v="14"/>
    <n v="12"/>
    <n v="14"/>
    <n v="23"/>
    <n v="33"/>
    <n v="35"/>
    <n v="25"/>
    <n v="39"/>
    <n v="34"/>
    <n v="59"/>
    <n v="59"/>
    <n v="0"/>
    <n v="1"/>
    <n v="201"/>
    <n v="188"/>
    <n v="389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01"/>
    <n v="188"/>
    <n v="389"/>
  </r>
  <r>
    <x v="4"/>
    <s v="Quezon City"/>
    <s v="School District XVII"/>
    <n v="136529"/>
    <s v="San Gabriel ES"/>
    <s v="A. Bonifacio"/>
    <s v="5th District"/>
    <x v="0"/>
    <s v="Public"/>
    <s v="DepED Managed"/>
    <m/>
    <m/>
    <m/>
    <s v="Purely ES"/>
    <n v="0"/>
    <n v="0"/>
    <n v="3"/>
    <n v="1"/>
    <n v="3"/>
    <n v="3"/>
    <n v="3"/>
    <n v="5"/>
    <n v="1"/>
    <n v="2"/>
    <n v="7"/>
    <n v="9"/>
    <n v="7"/>
    <n v="12"/>
    <n v="0"/>
    <n v="1"/>
    <n v="24"/>
    <n v="33"/>
    <n v="57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4"/>
    <n v="33"/>
    <n v="57"/>
  </r>
  <r>
    <x v="4"/>
    <s v="Quezon City"/>
    <s v="School District XVII"/>
    <n v="136530"/>
    <s v="Villa Verde Elementary School"/>
    <s v="Villa Verde Avenue, Villa Verde Homes"/>
    <s v="5th District"/>
    <x v="12"/>
    <s v="Public"/>
    <s v="DepED Managed"/>
    <m/>
    <m/>
    <m/>
    <s v="Purely ES"/>
    <n v="2"/>
    <n v="1"/>
    <n v="2"/>
    <n v="0"/>
    <n v="2"/>
    <n v="2"/>
    <n v="3"/>
    <n v="1"/>
    <n v="6"/>
    <n v="4"/>
    <n v="0"/>
    <n v="4"/>
    <n v="9"/>
    <n v="10"/>
    <n v="0"/>
    <n v="0"/>
    <n v="24"/>
    <n v="22"/>
    <n v="46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4"/>
    <n v="22"/>
    <n v="46"/>
  </r>
  <r>
    <x v="4"/>
    <s v="Quezon City"/>
    <s v="School District XVII"/>
    <n v="136538"/>
    <s v="San Agustin ES"/>
    <s v="Heavenly Dr. St. San Agustin,  Novaliches, Quezon City"/>
    <s v="5th District"/>
    <x v="7"/>
    <s v="Public"/>
    <s v="DepED Managed"/>
    <m/>
    <m/>
    <m/>
    <s v="Purely ES"/>
    <n v="0"/>
    <n v="0"/>
    <n v="6"/>
    <n v="5"/>
    <n v="2"/>
    <n v="0"/>
    <n v="3"/>
    <n v="3"/>
    <n v="5"/>
    <n v="9"/>
    <n v="2"/>
    <n v="0"/>
    <n v="9"/>
    <n v="6"/>
    <n v="0"/>
    <n v="0"/>
    <n v="27"/>
    <n v="23"/>
    <n v="5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7"/>
    <n v="23"/>
    <n v="50"/>
  </r>
  <r>
    <x v="4"/>
    <s v="Quezon City"/>
    <s v="School District XVII"/>
    <n v="340697"/>
    <s v="Jose Maria Panganiban Senior High School"/>
    <s v="Gulod Novaliches, Quezon City"/>
    <s v="5th District"/>
    <x v="3"/>
    <s v="Public"/>
    <s v="DepED Managed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1"/>
    <n v="3"/>
    <n v="5"/>
    <n v="0"/>
    <n v="0"/>
    <n v="0"/>
    <n v="0"/>
    <n v="0"/>
    <n v="0"/>
    <n v="7"/>
    <n v="5"/>
    <n v="0"/>
    <n v="0"/>
    <n v="0"/>
    <n v="0"/>
    <n v="0"/>
    <n v="0"/>
    <m/>
    <m/>
    <m/>
    <m/>
    <n v="0"/>
    <n v="0"/>
    <n v="5"/>
    <n v="8"/>
    <n v="0"/>
    <n v="0"/>
    <n v="0"/>
    <n v="0"/>
    <n v="0"/>
    <n v="0"/>
    <n v="5"/>
    <n v="4"/>
    <n v="0"/>
    <n v="0"/>
    <n v="0"/>
    <n v="0"/>
    <n v="0"/>
    <n v="0"/>
    <n v="21"/>
    <n v="23"/>
    <n v="44"/>
    <n v="21"/>
    <n v="23"/>
    <n v="44"/>
  </r>
  <r>
    <x v="4"/>
    <s v="Quezon City"/>
    <s v="School District XVII"/>
    <n v="409329"/>
    <s v="Capstone Highest Achiever Learning School Inc."/>
    <s v="Block 10 Lot 2 Queens Road corner Northwind Avenue Subdivision, Novaliches"/>
    <s v="5th District"/>
    <x v="11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409731"/>
    <s v="St. Anthony School of Sta. Lucia, Inc."/>
    <s v="33 F. Balagtas Street, Novaliches"/>
    <s v="5th District"/>
    <x v="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409737"/>
    <s v="Trinity Polytechnic College, Inc."/>
    <s v="892 Alfina Bldg. Quirino Highway, Brgy. Gulod, Novaliches, Quezon City"/>
    <s v="5th District"/>
    <x v="3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9"/>
    <n v="3"/>
    <n v="6"/>
    <n v="2"/>
    <n v="7"/>
    <n v="0"/>
    <n v="3"/>
    <n v="0"/>
    <n v="0"/>
    <n v="4"/>
    <n v="6"/>
    <n v="0"/>
    <n v="0"/>
    <n v="0"/>
    <n v="0"/>
    <n v="0"/>
    <n v="0"/>
    <m/>
    <m/>
    <m/>
    <m/>
    <n v="3"/>
    <n v="6"/>
    <n v="6"/>
    <n v="6"/>
    <n v="4"/>
    <n v="8"/>
    <n v="0"/>
    <n v="1"/>
    <n v="0"/>
    <n v="0"/>
    <n v="7"/>
    <n v="9"/>
    <n v="0"/>
    <n v="0"/>
    <n v="0"/>
    <n v="0"/>
    <n v="0"/>
    <n v="0"/>
    <n v="30"/>
    <n v="61"/>
    <n v="91"/>
    <n v="30"/>
    <n v="61"/>
    <n v="91"/>
  </r>
  <r>
    <x v="4"/>
    <s v="Quezon City"/>
    <s v="School District XVII"/>
    <n v="482836"/>
    <s v="John Mark Christian School of Nova., Inc."/>
    <s v="#29 Petronia St., Buenamar Subd. Novaliches Q.C"/>
    <s v="5th District"/>
    <x v="8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482887"/>
    <s v="Brother Sun Sister Moon Academy, Inc."/>
    <s v="001 J.P. Rizal Street, Novaliches"/>
    <s v="5th District"/>
    <x v="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482890"/>
    <s v="School of the Corpus Christi (Quezon City), Inc."/>
    <s v="L5B2, Atis Cor. Avocado Rds.,  Phase 1-A, Palmera,"/>
    <s v="5th District"/>
    <x v="12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482963"/>
    <s v="St. Alexis Community School of QC., Inc"/>
    <s v="#27 Diego Silang St., Rivera Ville"/>
    <s v="5th District"/>
    <x v="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"/>
    <n v="482978"/>
    <s v="Kingsville Learning Center, Inc."/>
    <s v="6 Diego Silang St., Sta Lucia, Nova."/>
    <s v="5th District"/>
    <x v="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136531"/>
    <s v="Damong Maliit ES"/>
    <s v="#18 Trinidad Avenue, Nagkaisang Nayon"/>
    <s v="5th District"/>
    <x v="11"/>
    <s v="Public"/>
    <s v="DepED Managed"/>
    <m/>
    <m/>
    <m/>
    <s v="Purely ES"/>
    <n v="0"/>
    <n v="0"/>
    <n v="0"/>
    <n v="0"/>
    <n v="0"/>
    <n v="0"/>
    <n v="1"/>
    <n v="0"/>
    <n v="0"/>
    <n v="1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"/>
    <n v="1"/>
    <n v="2"/>
  </r>
  <r>
    <x v="4"/>
    <s v="Quezon City"/>
    <s v="School District XVIII"/>
    <n v="136532"/>
    <s v="Delfin M. Geraldez Memorial ES"/>
    <s v="12 Salvia St., Kaligayahan"/>
    <s v="5th District"/>
    <x v="1"/>
    <s v="Public"/>
    <s v="DepED Managed"/>
    <m/>
    <m/>
    <m/>
    <s v="Purely ES"/>
    <n v="0"/>
    <n v="0"/>
    <n v="0"/>
    <n v="0"/>
    <n v="1"/>
    <n v="2"/>
    <n v="5"/>
    <n v="3"/>
    <n v="2"/>
    <n v="6"/>
    <n v="3"/>
    <n v="2"/>
    <n v="8"/>
    <n v="6"/>
    <n v="0"/>
    <n v="0"/>
    <n v="19"/>
    <n v="19"/>
    <n v="38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9"/>
    <n v="19"/>
    <n v="38"/>
  </r>
  <r>
    <x v="4"/>
    <s v="Quezon City"/>
    <s v="School District XVIII"/>
    <n v="136533"/>
    <s v="Kaligayahan ES"/>
    <s v="Rivera Compound"/>
    <s v="5th District"/>
    <x v="1"/>
    <s v="Public"/>
    <s v="DepED Managed"/>
    <m/>
    <m/>
    <m/>
    <s v="Purely ES"/>
    <n v="0"/>
    <n v="0"/>
    <n v="0"/>
    <n v="0"/>
    <n v="0"/>
    <n v="0"/>
    <n v="2"/>
    <n v="1"/>
    <n v="0"/>
    <n v="0"/>
    <n v="0"/>
    <n v="0"/>
    <n v="0"/>
    <n v="2"/>
    <n v="0"/>
    <n v="0"/>
    <n v="2"/>
    <n v="3"/>
    <n v="5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"/>
    <n v="3"/>
    <n v="5"/>
  </r>
  <r>
    <x v="4"/>
    <s v="Quezon City"/>
    <s v="School District XVIII"/>
    <n v="136534"/>
    <s v="Lagro ES"/>
    <s v="Ascension Ave."/>
    <s v="5th District"/>
    <x v="2"/>
    <s v="Public"/>
    <s v="DepED Managed"/>
    <m/>
    <m/>
    <m/>
    <s v="Purely ES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"/>
    <n v="0"/>
    <n v="2"/>
  </r>
  <r>
    <x v="4"/>
    <s v="Quezon City"/>
    <s v="School District XVIII"/>
    <n v="136535"/>
    <s v="Maligaya ES"/>
    <s v="Ilang-Ilang Pasong Putik Proper QC"/>
    <s v="5th District"/>
    <x v="9"/>
    <s v="Public"/>
    <s v="DepED Managed"/>
    <m/>
    <m/>
    <m/>
    <s v="Purely ES"/>
    <n v="5"/>
    <n v="0"/>
    <n v="8"/>
    <n v="6"/>
    <n v="15"/>
    <n v="12"/>
    <n v="8"/>
    <n v="9"/>
    <n v="20"/>
    <n v="19"/>
    <n v="22"/>
    <n v="14"/>
    <n v="26"/>
    <n v="25"/>
    <n v="1"/>
    <n v="0"/>
    <n v="105"/>
    <n v="85"/>
    <n v="19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05"/>
    <n v="85"/>
    <n v="190"/>
  </r>
  <r>
    <x v="4"/>
    <s v="Quezon City"/>
    <s v="School District XVIII"/>
    <n v="136536"/>
    <s v="Nagkaisang Nayon ES"/>
    <s v="-Mayon St.,Brgy Nagkaisang Nayon Q. C."/>
    <s v="5th District"/>
    <x v="11"/>
    <s v="Public"/>
    <s v="DepED Managed"/>
    <m/>
    <m/>
    <m/>
    <s v="Purely ES"/>
    <n v="0"/>
    <n v="0"/>
    <n v="0"/>
    <n v="0"/>
    <n v="0"/>
    <n v="0"/>
    <n v="0"/>
    <n v="0"/>
    <n v="6"/>
    <n v="2"/>
    <n v="9"/>
    <n v="6"/>
    <n v="13"/>
    <n v="10"/>
    <n v="2"/>
    <n v="0"/>
    <n v="30"/>
    <n v="18"/>
    <n v="48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0"/>
    <n v="18"/>
    <n v="48"/>
  </r>
  <r>
    <x v="4"/>
    <s v="Quezon City"/>
    <s v="School District XVIII"/>
    <n v="136537"/>
    <s v="North Fairview ES"/>
    <s v="Avon St.,Cor. Astor"/>
    <s v="5th District"/>
    <x v="10"/>
    <s v="Public"/>
    <s v="DepED Managed"/>
    <m/>
    <m/>
    <m/>
    <s v="Purely ES"/>
    <n v="0"/>
    <n v="0"/>
    <n v="0"/>
    <n v="0"/>
    <n v="1"/>
    <n v="1"/>
    <n v="7"/>
    <n v="9"/>
    <n v="1"/>
    <n v="1"/>
    <n v="1"/>
    <n v="1"/>
    <n v="3"/>
    <n v="2"/>
    <n v="0"/>
    <n v="0"/>
    <n v="13"/>
    <n v="14"/>
    <n v="27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3"/>
    <n v="14"/>
    <n v="27"/>
  </r>
  <r>
    <x v="4"/>
    <s v="Quezon City"/>
    <s v="School District XVIII"/>
    <n v="136543"/>
    <s v="Fairview ES"/>
    <s v="Fairlane St. Fairview Quezon City"/>
    <s v="5th District"/>
    <x v="4"/>
    <s v="Public"/>
    <s v="DepED Managed"/>
    <m/>
    <m/>
    <m/>
    <s v="Purely ES"/>
    <n v="0"/>
    <n v="3"/>
    <n v="7"/>
    <n v="3"/>
    <n v="5"/>
    <n v="4"/>
    <n v="1"/>
    <n v="3"/>
    <n v="2"/>
    <n v="0"/>
    <n v="3"/>
    <n v="6"/>
    <n v="1"/>
    <n v="2"/>
    <n v="0"/>
    <n v="0"/>
    <n v="19"/>
    <n v="21"/>
    <n v="4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9"/>
    <n v="21"/>
    <n v="40"/>
  </r>
  <r>
    <x v="4"/>
    <s v="Quezon City"/>
    <s v="School District XVIII"/>
    <n v="222501"/>
    <s v="West Fairview Elementary School"/>
    <s v="Austin St. West Fairview"/>
    <s v="5th District"/>
    <x v="13"/>
    <s v="Public"/>
    <s v="DepED Managed"/>
    <m/>
    <m/>
    <m/>
    <s v="Purely ES"/>
    <n v="2"/>
    <n v="5"/>
    <n v="0"/>
    <n v="1"/>
    <n v="1"/>
    <n v="2"/>
    <n v="5"/>
    <n v="4"/>
    <n v="6"/>
    <n v="4"/>
    <n v="2"/>
    <n v="5"/>
    <n v="7"/>
    <n v="13"/>
    <n v="0"/>
    <n v="0"/>
    <n v="23"/>
    <n v="34"/>
    <n v="57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3"/>
    <n v="34"/>
    <n v="57"/>
  </r>
  <r>
    <x v="4"/>
    <s v="Quezon City"/>
    <s v="School District XVIII"/>
    <n v="305635"/>
    <s v="West Fairview High School"/>
    <s v="Austin Street, Fairview Park"/>
    <s v="5th District"/>
    <x v="4"/>
    <s v="Public"/>
    <s v="DepED Managed"/>
    <m/>
    <m/>
    <m/>
    <s v="Purely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06492"/>
    <s v="St. Theresa's School of Novaliches, Inc."/>
    <s v="7 KIngfisher Street, Zabarte Subdivision, Novaliches"/>
    <s v="5th District"/>
    <x v="1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5"/>
    <n v="2"/>
    <n v="8"/>
    <n v="0"/>
    <n v="3"/>
    <n v="0"/>
    <n v="0"/>
    <n v="0"/>
    <n v="0"/>
    <n v="0"/>
    <n v="0"/>
    <n v="0"/>
    <n v="0"/>
    <n v="0"/>
    <n v="0"/>
    <n v="0"/>
    <n v="0"/>
    <m/>
    <m/>
    <m/>
    <m/>
    <n v="1"/>
    <n v="2"/>
    <n v="0"/>
    <n v="0"/>
    <n v="0"/>
    <n v="1"/>
    <n v="0"/>
    <n v="0"/>
    <n v="0"/>
    <n v="0"/>
    <n v="0"/>
    <n v="0"/>
    <n v="0"/>
    <n v="0"/>
    <n v="0"/>
    <n v="0"/>
    <n v="0"/>
    <n v="0"/>
    <n v="4"/>
    <n v="19"/>
    <n v="23"/>
    <n v="4"/>
    <n v="19"/>
    <n v="23"/>
  </r>
  <r>
    <x v="4"/>
    <s v="Quezon City"/>
    <s v="School District XVIII"/>
    <n v="408390"/>
    <s v="Active Thinkers Child Development, Inc."/>
    <s v="41 Mustang Street, Greater Fairview"/>
    <s v="5th District"/>
    <x v="4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08616"/>
    <s v="JLM  Creative Learner's Home, Inc."/>
    <s v="The Redwoods Condominium, Quirino Highway corner Regalado Avenue, Novaliches"/>
    <s v="5th District"/>
    <x v="9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08783"/>
    <s v="The Growing Place Learning Center, Inc."/>
    <s v="12 Fiat Street, Fairview"/>
    <s v="5th District"/>
    <x v="4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08851"/>
    <s v="Integrated Innovation and Hospitality Colleges, Inc."/>
    <s v="C. I. Plaza Building, Zabarte Road, Novaliches"/>
    <s v="5th District"/>
    <x v="1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1"/>
    <n v="7"/>
    <n v="8"/>
    <n v="4"/>
    <n v="5"/>
    <n v="2"/>
    <n v="0"/>
    <n v="0"/>
    <n v="0"/>
    <n v="2"/>
    <n v="3"/>
    <n v="0"/>
    <n v="0"/>
    <n v="0"/>
    <n v="0"/>
    <n v="0"/>
    <n v="0"/>
    <m/>
    <m/>
    <m/>
    <m/>
    <n v="0"/>
    <n v="1"/>
    <n v="2"/>
    <n v="7"/>
    <n v="1"/>
    <n v="6"/>
    <n v="0"/>
    <n v="0"/>
    <n v="0"/>
    <n v="0"/>
    <n v="1"/>
    <n v="0"/>
    <n v="0"/>
    <n v="0"/>
    <n v="0"/>
    <n v="0"/>
    <n v="0"/>
    <n v="0"/>
    <n v="19"/>
    <n v="31"/>
    <n v="50"/>
    <n v="19"/>
    <n v="31"/>
    <n v="50"/>
  </r>
  <r>
    <x v="4"/>
    <s v="Quezon City"/>
    <s v="School District XVIII"/>
    <n v="409734"/>
    <s v="Lincoln School of Arts and Languages Inc."/>
    <s v="Lot 2 &amp; 4, Block 229, Mindanao Avenue, Extension, Neopolitan Subdivision"/>
    <s v="5th District"/>
    <x v="9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2"/>
    <n v="1"/>
    <n v="1"/>
    <n v="2"/>
  </r>
  <r>
    <x v="4"/>
    <s v="Quezon City"/>
    <s v="School District XVIII"/>
    <n v="409888"/>
    <s v="Johnryn Learning School of Quezon City"/>
    <s v="Block 213 Lot 21 Yuan Street, Phase 8 North Fairview"/>
    <s v="5th District"/>
    <x v="4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82709"/>
    <s v="Operation Brotherhood Montessori Center"/>
    <s v="Napoli St, Neopolitan IV, Brittany Subd."/>
    <s v="5th District"/>
    <x v="6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82716"/>
    <s v="The Raya School, Inc."/>
    <s v="Lot 3 Block 8 Sorrento Street, Neopolitan Business Park, Novaliches"/>
    <s v="5th District"/>
    <x v="2"/>
    <s v="Private"/>
    <s v="Non-Sectarian "/>
    <m/>
    <m/>
    <m/>
    <s v="All Offering (K to 12)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82891"/>
    <s v="The Fountain of Life School of Quezon City, Inc."/>
    <s v="433 Drachma Street"/>
    <s v="5th District"/>
    <x v="10"/>
    <s v="Private"/>
    <s v="Non-Sectarian "/>
    <m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4"/>
    <s v="Quezon City"/>
    <s v="School District XVIII"/>
    <n v="482971"/>
    <s v="Datamex - College of Saint Adeline, Inc."/>
    <s v="Datamex Bldg., 5 Commonwealth Avenue"/>
    <s v="5th District"/>
    <x v="4"/>
    <s v="Private"/>
    <s v="Non-Sectarian "/>
    <m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5"/>
    <n v="16"/>
    <n v="31"/>
    <n v="26"/>
    <n v="14"/>
    <n v="13"/>
    <n v="0"/>
    <n v="2"/>
    <n v="0"/>
    <n v="0"/>
    <n v="31"/>
    <n v="27"/>
    <n v="0"/>
    <n v="0"/>
    <n v="0"/>
    <n v="0"/>
    <n v="0"/>
    <n v="0"/>
    <m/>
    <m/>
    <m/>
    <m/>
    <n v="15"/>
    <n v="29"/>
    <n v="52"/>
    <n v="51"/>
    <n v="22"/>
    <n v="20"/>
    <n v="5"/>
    <n v="6"/>
    <n v="0"/>
    <n v="0"/>
    <n v="47"/>
    <n v="49"/>
    <n v="0"/>
    <n v="0"/>
    <n v="0"/>
    <n v="0"/>
    <n v="0"/>
    <n v="0"/>
    <n v="222"/>
    <n v="239"/>
    <n v="461"/>
    <n v="222"/>
    <n v="239"/>
    <n v="461"/>
  </r>
  <r>
    <x v="4"/>
    <s v="Quezon City"/>
    <s v="School District XVIII"/>
    <n v="482987"/>
    <s v="APEC Schools"/>
    <s v="Tanya Bldg., Lot 10 &amp; 12 Block 43, Regalado Avenue Cor. Bronx St., Brgy. North Fairview, Quezon City"/>
    <s v="5th District"/>
    <x v="10"/>
    <s v="Private"/>
    <s v="Non-Sectarian "/>
    <m/>
    <m/>
    <m/>
    <s v="JHS with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m/>
    <m/>
    <m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4"/>
    <n v="4"/>
    <n v="0"/>
    <n v="4"/>
    <n v="4"/>
  </r>
  <r>
    <x v="4"/>
    <s v="Quezon City"/>
    <s v="School District XIX"/>
    <n v="360867"/>
    <s v="Leandro Locsin Integrated School"/>
    <s v="Rivera Compound"/>
    <s v="5th District"/>
    <x v="1"/>
    <s v="Public"/>
    <s v="DepED Managed"/>
    <m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2"/>
    <n v="0"/>
    <n v="0"/>
    <n v="0"/>
    <n v="0"/>
    <n v="5"/>
    <n v="3"/>
    <n v="8"/>
    <n v="1"/>
    <n v="3"/>
    <n v="4"/>
    <n v="4"/>
    <n v="0"/>
    <n v="0"/>
    <n v="0"/>
    <n v="0"/>
    <n v="0"/>
    <n v="0"/>
    <n v="5"/>
    <n v="0"/>
    <n v="0"/>
    <n v="0"/>
    <n v="0"/>
    <n v="0"/>
    <n v="0"/>
    <n v="0"/>
    <m/>
    <m/>
    <m/>
    <m/>
    <n v="1"/>
    <n v="3"/>
    <n v="3"/>
    <n v="5"/>
    <n v="1"/>
    <n v="3"/>
    <n v="0"/>
    <n v="4"/>
    <n v="0"/>
    <n v="0"/>
    <n v="3"/>
    <n v="4"/>
    <n v="0"/>
    <n v="0"/>
    <n v="0"/>
    <n v="0"/>
    <n v="0"/>
    <n v="0"/>
    <n v="18"/>
    <n v="26"/>
    <n v="44"/>
    <n v="23"/>
    <n v="29"/>
    <n v="52"/>
  </r>
  <r>
    <x v="5"/>
    <s v="Quezon City"/>
    <s v="School District I"/>
    <n v="340690"/>
    <s v="Sta. Lucia Senior High School"/>
    <s v="A. Mabini Street, Novaliches"/>
    <s v="5th District"/>
    <x v="0"/>
    <s v="Public"/>
    <s v="DepED Managed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5"/>
    <n v="6"/>
    <n v="5"/>
    <n v="0"/>
    <n v="0"/>
    <n v="0"/>
    <n v="0"/>
    <n v="0"/>
    <n v="0"/>
    <n v="8"/>
    <n v="6"/>
    <n v="0"/>
    <n v="0"/>
    <n v="0"/>
    <n v="0"/>
    <n v="0"/>
    <n v="0"/>
    <n v="0"/>
    <n v="0"/>
    <n v="0"/>
    <n v="0"/>
    <n v="1"/>
    <n v="7"/>
    <n v="7"/>
    <n v="15"/>
    <n v="0"/>
    <n v="0"/>
    <n v="0"/>
    <n v="0"/>
    <n v="0"/>
    <n v="0"/>
    <n v="14"/>
    <n v="12"/>
    <n v="0"/>
    <n v="0"/>
    <n v="0"/>
    <n v="0"/>
    <n v="0"/>
    <n v="0"/>
    <n v="37"/>
    <n v="50"/>
    <n v="87"/>
    <n v="37"/>
    <n v="50"/>
    <n v="87"/>
  </r>
  <r>
    <x v="5"/>
    <s v="Quezon City"/>
    <s v="School District I"/>
    <n v="401453"/>
    <s v="Bestlink College of the Philippines"/>
    <s v="762 Topaz corner Sapphire Street, Millionares Village, San Agustin"/>
    <s v="5th District"/>
    <x v="1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2"/>
    <n v="6"/>
    <n v="2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6"/>
    <n v="6"/>
    <n v="9"/>
    <n v="2"/>
    <n v="7"/>
    <n v="3"/>
    <n v="2"/>
    <n v="0"/>
    <n v="0"/>
    <n v="5"/>
    <n v="1"/>
    <n v="0"/>
    <n v="0"/>
    <n v="0"/>
    <n v="0"/>
    <n v="0"/>
    <n v="0"/>
    <n v="26"/>
    <n v="29"/>
    <n v="55"/>
    <n v="26"/>
    <n v="29"/>
    <n v="55"/>
  </r>
  <r>
    <x v="5"/>
    <s v="Quezon City"/>
    <s v="School District I"/>
    <n v="401486"/>
    <s v="Integrated Innovation and Hospitality Colleges, Inc."/>
    <s v="Buenamar Street"/>
    <s v="5th District"/>
    <x v="8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3"/>
    <n v="6"/>
    <n v="0"/>
    <n v="0"/>
    <n v="0"/>
    <n v="0"/>
    <n v="3"/>
    <n v="0"/>
    <n v="0"/>
    <n v="0"/>
    <n v="21"/>
    <n v="4"/>
    <n v="0"/>
    <n v="0"/>
    <n v="0"/>
    <n v="0"/>
    <n v="0"/>
    <n v="0"/>
    <n v="0"/>
    <n v="0"/>
    <n v="0"/>
    <n v="0"/>
    <n v="3"/>
    <n v="5"/>
    <n v="0"/>
    <n v="0"/>
    <n v="0"/>
    <n v="0"/>
    <n v="3"/>
    <n v="7"/>
    <n v="0"/>
    <n v="0"/>
    <n v="19"/>
    <n v="27"/>
    <n v="0"/>
    <n v="0"/>
    <n v="0"/>
    <n v="0"/>
    <n v="0"/>
    <n v="0"/>
    <n v="52"/>
    <n v="49"/>
    <n v="101"/>
    <n v="52"/>
    <n v="49"/>
    <n v="101"/>
  </r>
  <r>
    <x v="5"/>
    <s v="Quezon City"/>
    <s v="School District I"/>
    <n v="401495"/>
    <s v="National Polytechnic College of Science and Technology-Lagro"/>
    <s v="Blk. 125, Lot 22, Quirino Highway, Lagro, Quezon City"/>
    <s v="5th District"/>
    <x v="2"/>
    <s v="Private"/>
    <s v="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6"/>
    <n v="0"/>
    <n v="0"/>
    <n v="0"/>
    <n v="0"/>
    <n v="0"/>
    <n v="0"/>
    <n v="36"/>
    <n v="8"/>
    <n v="44"/>
    <n v="36"/>
    <n v="8"/>
    <n v="44"/>
  </r>
  <r>
    <x v="5"/>
    <s v="Quezon City"/>
    <s v="School District I"/>
    <n v="401500"/>
    <s v="National Polytechnic College of Science and Technology-Novaliches"/>
    <s v="Blk 125 Lot 22 Quirino Avenue, Lagro, Quezon City"/>
    <s v="5th District"/>
    <x v="3"/>
    <s v="Private"/>
    <s v="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2"/>
    <n v="2"/>
    <n v="6"/>
    <n v="15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3"/>
    <n v="3"/>
    <n v="6"/>
    <n v="5"/>
    <n v="0"/>
    <n v="0"/>
    <n v="0"/>
    <n v="0"/>
    <n v="0"/>
    <n v="0"/>
    <n v="0"/>
    <n v="0"/>
    <n v="0"/>
    <n v="0"/>
    <n v="0"/>
    <n v="0"/>
    <n v="0"/>
    <n v="0"/>
    <n v="18"/>
    <n v="27"/>
    <n v="45"/>
    <n v="18"/>
    <n v="27"/>
    <n v="45"/>
  </r>
  <r>
    <x v="5"/>
    <s v="Quezon City"/>
    <s v="School District I"/>
    <n v="407206"/>
    <s v="AISAT COLLEGE - QUEZON CITY, INC."/>
    <s v="Blk 3 Lot 2 Neopolitan Park, Phase 1"/>
    <s v="5th District"/>
    <x v="2"/>
    <s v="Private"/>
    <s v="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5"/>
    <n v="3"/>
    <n v="9"/>
    <n v="0"/>
    <n v="0"/>
    <n v="1"/>
    <n v="0"/>
    <n v="0"/>
    <n v="0"/>
    <n v="7"/>
    <n v="4"/>
    <n v="0"/>
    <n v="0"/>
    <n v="0"/>
    <n v="0"/>
    <n v="0"/>
    <n v="0"/>
    <n v="0"/>
    <n v="0"/>
    <n v="0"/>
    <n v="0"/>
    <n v="1"/>
    <n v="7"/>
    <n v="4"/>
    <n v="5"/>
    <n v="0"/>
    <n v="0"/>
    <n v="0"/>
    <n v="2"/>
    <n v="0"/>
    <n v="0"/>
    <n v="11"/>
    <n v="2"/>
    <n v="0"/>
    <n v="0"/>
    <n v="0"/>
    <n v="0"/>
    <n v="0"/>
    <n v="0"/>
    <n v="27"/>
    <n v="34"/>
    <n v="61"/>
    <n v="27"/>
    <n v="34"/>
    <n v="61"/>
  </r>
  <r>
    <x v="5"/>
    <s v="Quezon City"/>
    <s v="School District I"/>
    <n v="409925"/>
    <s v="Electron College of Technical Education Corporation"/>
    <s v="CPE Building, Commonwealth Avenue,"/>
    <s v="5th District"/>
    <x v="4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8"/>
    <n v="9"/>
    <n v="0"/>
    <n v="0"/>
    <n v="0"/>
    <n v="0"/>
    <n v="2"/>
    <n v="5"/>
    <n v="0"/>
    <n v="0"/>
    <n v="0"/>
    <n v="0"/>
    <n v="0"/>
    <n v="0"/>
    <n v="0"/>
    <n v="0"/>
    <n v="0"/>
    <n v="0"/>
    <n v="0"/>
    <n v="0"/>
    <n v="0"/>
    <n v="0"/>
    <n v="3"/>
    <n v="10"/>
    <n v="0"/>
    <n v="0"/>
    <n v="0"/>
    <n v="0"/>
    <n v="1"/>
    <n v="4"/>
    <n v="0"/>
    <n v="0"/>
    <n v="0"/>
    <n v="0"/>
    <n v="0"/>
    <n v="0"/>
    <n v="0"/>
    <n v="0"/>
    <n v="0"/>
    <n v="0"/>
    <n v="14"/>
    <n v="28"/>
    <n v="42"/>
    <n v="14"/>
    <n v="28"/>
    <n v="42"/>
  </r>
  <r>
    <x v="5"/>
    <s v="Quezon City"/>
    <s v="School District I"/>
    <n v="410227"/>
    <s v="NU Fairview Incorporated"/>
    <s v="SM Fairview Complex, Quirino Highway corner Regalado"/>
    <s v="5th District"/>
    <x v="2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2"/>
    <n v="0"/>
    <n v="1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1"/>
    <n v="1"/>
    <n v="6"/>
    <n v="0"/>
    <n v="0"/>
    <n v="0"/>
    <n v="0"/>
    <n v="0"/>
    <n v="0"/>
    <n v="0"/>
    <n v="0"/>
    <n v="0"/>
    <n v="0"/>
    <n v="0"/>
    <n v="0"/>
    <n v="5"/>
    <n v="21"/>
    <n v="26"/>
    <n v="5"/>
    <n v="21"/>
    <n v="26"/>
  </r>
  <r>
    <x v="5"/>
    <s v="Quezon City"/>
    <s v="School District IV"/>
    <n v="410465"/>
    <s v="South East-Asia Institute of Trade and Technology Inc."/>
    <s v="JB Crystal Building Lots 36-38, Quirino Highway"/>
    <s v="5th District"/>
    <x v="2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2"/>
    <n v="16"/>
    <n v="13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3"/>
    <n v="29"/>
    <n v="25"/>
    <n v="0"/>
    <n v="0"/>
    <n v="0"/>
    <n v="1"/>
    <n v="0"/>
    <n v="0"/>
    <n v="0"/>
    <n v="0"/>
    <n v="0"/>
    <n v="0"/>
    <n v="0"/>
    <n v="0"/>
    <n v="0"/>
    <n v="0"/>
    <n v="50"/>
    <n v="97"/>
    <n v="147"/>
    <n v="50"/>
    <n v="97"/>
    <n v="147"/>
  </r>
  <r>
    <x v="5"/>
    <s v="Quezon City"/>
    <s v="School District V"/>
    <n v="409926"/>
    <s v="Electron College of Technical Education Corporation"/>
    <s v="661 Electron Building, Quirino Highway, Novaliches"/>
    <s v="5th District"/>
    <x v="5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8"/>
    <n v="25"/>
    <n v="23"/>
    <n v="9"/>
    <n v="14"/>
    <n v="2"/>
    <n v="4"/>
    <n v="0"/>
    <n v="0"/>
    <n v="17"/>
    <n v="43"/>
    <n v="0"/>
    <n v="0"/>
    <n v="0"/>
    <n v="0"/>
    <n v="0"/>
    <n v="0"/>
    <n v="0"/>
    <n v="0"/>
    <n v="0"/>
    <n v="0"/>
    <n v="4"/>
    <n v="9"/>
    <n v="23"/>
    <n v="28"/>
    <n v="16"/>
    <n v="13"/>
    <n v="4"/>
    <n v="0"/>
    <n v="0"/>
    <n v="0"/>
    <n v="25"/>
    <n v="43"/>
    <n v="0"/>
    <n v="0"/>
    <n v="0"/>
    <n v="0"/>
    <n v="0"/>
    <n v="0"/>
    <n v="126"/>
    <n v="185"/>
    <n v="311"/>
    <n v="126"/>
    <n v="185"/>
    <n v="311"/>
  </r>
  <r>
    <x v="5"/>
    <s v="Quezon City"/>
    <s v="School District V"/>
    <n v="410825"/>
    <s v="SLDM Colleges of Quezon City Inc."/>
    <s v="B1 L1 Salvador Avenue corner Quirino Highway, Jordan Plains, Brgy Sta. Monica, Quezon City"/>
    <s v="5th District"/>
    <x v="12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V"/>
    <n v="411379"/>
    <s v="JBest College of Science and Technology, Inc."/>
    <s v="882 Nitang St., Quirino Highway Gulod, Novaliches, Quezon City"/>
    <s v="5th District"/>
    <x v="3"/>
    <s v="Private"/>
    <s v="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3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8"/>
    <n v="10"/>
    <n v="2"/>
    <n v="8"/>
    <n v="10"/>
  </r>
  <r>
    <x v="5"/>
    <s v="Quezon City"/>
    <s v="School District VI"/>
    <n v="406448"/>
    <s v="Goodwill Academy, Inc."/>
    <s v="Blk. 8, Lot 12 Benevolence St. Goodwill homes 1 San Bartolome Nov. Q.C."/>
    <s v="5th District"/>
    <x v="6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VIII"/>
    <n v="305341"/>
    <s v="San Bartolome HS"/>
    <s v="Holy Cross Rd."/>
    <s v="5th District"/>
    <x v="6"/>
    <s v="Public"/>
    <s v="DepED Managed"/>
    <s v="School with no Annexes"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0"/>
    <n v="4"/>
    <n v="10"/>
    <n v="4"/>
    <n v="1"/>
    <n v="0"/>
    <n v="0"/>
    <n v="13"/>
    <n v="12"/>
    <n v="25"/>
    <n v="1"/>
    <n v="3"/>
    <n v="0"/>
    <n v="3"/>
    <n v="0"/>
    <n v="0"/>
    <n v="0"/>
    <n v="0"/>
    <n v="0"/>
    <n v="0"/>
    <n v="4"/>
    <n v="3"/>
    <n v="0"/>
    <n v="0"/>
    <n v="0"/>
    <n v="0"/>
    <n v="0"/>
    <n v="0"/>
    <n v="0"/>
    <n v="0"/>
    <n v="0"/>
    <n v="0"/>
    <n v="0"/>
    <n v="3"/>
    <n v="4"/>
    <n v="1"/>
    <n v="3"/>
    <n v="1"/>
    <n v="0"/>
    <n v="0"/>
    <n v="0"/>
    <n v="0"/>
    <n v="2"/>
    <n v="2"/>
    <n v="0"/>
    <n v="0"/>
    <n v="0"/>
    <n v="0"/>
    <n v="0"/>
    <n v="0"/>
    <n v="14"/>
    <n v="16"/>
    <n v="30"/>
    <n v="27"/>
    <n v="28"/>
    <n v="55"/>
  </r>
  <r>
    <x v="5"/>
    <s v="Quezon City"/>
    <s v="School District VIII"/>
    <n v="406451"/>
    <s v="Little Shepherd Child Development Center,"/>
    <s v="B.6 L 30-31 st James st. San Pedro Subd. 7 San Bartolome Nov"/>
    <s v="5th District"/>
    <x v="6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VIII"/>
    <n v="482569"/>
    <s v="Resurrection Catholic School"/>
    <s v="Pagkabuhay Road"/>
    <s v="5th District"/>
    <x v="5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VIII"/>
    <n v="482792"/>
    <s v="Saint Nicholas of Bari School"/>
    <s v="Franco Comp.Holy Cross Road San Bartolome"/>
    <s v="5th District"/>
    <x v="6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IX"/>
    <n v="305340"/>
    <s v="Novaliches HS"/>
    <s v="Lakandula"/>
    <s v="5th District"/>
    <x v="7"/>
    <s v="Public"/>
    <s v="DepED Managed"/>
    <s v="School with no Annexes"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15"/>
    <n v="15"/>
    <n v="8"/>
    <n v="25"/>
    <n v="18"/>
    <n v="8"/>
    <n v="17"/>
    <n v="0"/>
    <n v="0"/>
    <n v="76"/>
    <n v="58"/>
    <n v="134"/>
    <n v="3"/>
    <n v="4"/>
    <n v="3"/>
    <n v="5"/>
    <n v="2"/>
    <n v="1"/>
    <n v="0"/>
    <n v="0"/>
    <n v="0"/>
    <n v="0"/>
    <n v="7"/>
    <n v="3"/>
    <n v="0"/>
    <n v="0"/>
    <n v="0"/>
    <n v="0"/>
    <n v="0"/>
    <n v="0"/>
    <n v="0"/>
    <n v="0"/>
    <n v="0"/>
    <n v="0"/>
    <n v="1"/>
    <n v="11"/>
    <n v="6"/>
    <n v="10"/>
    <n v="2"/>
    <n v="6"/>
    <n v="0"/>
    <n v="0"/>
    <n v="0"/>
    <n v="0"/>
    <n v="13"/>
    <n v="5"/>
    <n v="0"/>
    <n v="0"/>
    <n v="0"/>
    <n v="0"/>
    <n v="0"/>
    <n v="0"/>
    <n v="37"/>
    <n v="45"/>
    <n v="82"/>
    <n v="113"/>
    <n v="103"/>
    <n v="216"/>
  </r>
  <r>
    <x v="5"/>
    <s v="Quezon City"/>
    <s v="School District IX"/>
    <n v="305342"/>
    <s v="Sta. Lucia HS"/>
    <s v="J.P. Rizal Street, Novaliches"/>
    <s v="5th District"/>
    <x v="0"/>
    <s v="Public"/>
    <s v="DepED Managed"/>
    <s v="School with no Annexes"/>
    <m/>
    <m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9"/>
    <n v="14"/>
    <n v="15"/>
    <n v="9"/>
    <n v="14"/>
    <n v="14"/>
    <n v="17"/>
    <n v="0"/>
    <n v="0"/>
    <n v="52"/>
    <n v="65"/>
    <n v="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52"/>
    <n v="65"/>
    <n v="117"/>
  </r>
  <r>
    <x v="5"/>
    <s v="Quezon City"/>
    <s v="School District IX"/>
    <n v="319504"/>
    <s v="Dona Rosario HS"/>
    <s v="P. Urduja Street"/>
    <s v="5th District"/>
    <x v="8"/>
    <s v="Public"/>
    <s v="DepED Managed"/>
    <s v="School with no Annexes"/>
    <m/>
    <m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7"/>
    <n v="31"/>
    <n v="36"/>
    <n v="29"/>
    <n v="42"/>
    <n v="39"/>
    <n v="51"/>
    <n v="0"/>
    <n v="0"/>
    <n v="139"/>
    <n v="176"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39"/>
    <n v="176"/>
    <n v="315"/>
  </r>
  <r>
    <x v="5"/>
    <s v="Quezon City"/>
    <s v="School District IX"/>
    <n v="406472"/>
    <s v="Sto. Nino de Novaliches School"/>
    <s v="Buenamar Street"/>
    <s v="5th District"/>
    <x v="8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IX"/>
    <n v="482540"/>
    <s v="St. Patrick School of Novaliches, Inc."/>
    <s v="#16 Jewel St. Forest Hills Subd."/>
    <s v="5th District"/>
    <x v="3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IX"/>
    <n v="482606"/>
    <s v="Sto. Nino Children Educational Center, Inc."/>
    <s v="Blk 10, Lot 6, Durian Street"/>
    <s v="5th District"/>
    <x v="12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IX"/>
    <n v="482771"/>
    <s v="Heuin Dol World Mission Christian Academy"/>
    <s v="25 Villaflor Village, Gulod, Novaliches Quezon City"/>
    <s v="5th District"/>
    <x v="3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IX"/>
    <n v="482813"/>
    <s v="Gymnazo Christian Academy, Inc."/>
    <s v="Lot 3 Block 52,  Jose Abad Santos St., Brgy. Sta. Lucia, Novaliches, Quezon City"/>
    <s v="5th District"/>
    <x v="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305336"/>
    <s v="Lagro HS"/>
    <s v="Misa de Gallo St. cor. Ascension Ave., Brgy. Greater Lagro,"/>
    <s v="5th District"/>
    <x v="2"/>
    <s v="Public"/>
    <s v="DepED Managed"/>
    <s v="School with no Annexes"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0"/>
    <n v="1"/>
    <n v="0"/>
    <n v="1"/>
    <n v="0"/>
    <n v="0"/>
    <n v="0"/>
    <n v="7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25"/>
    <n v="21"/>
    <n v="25"/>
    <n v="1"/>
    <n v="7"/>
    <n v="4"/>
    <n v="5"/>
    <n v="3"/>
    <n v="7"/>
    <n v="0"/>
    <n v="0"/>
    <n v="0"/>
    <n v="0"/>
    <n v="8"/>
    <n v="10"/>
    <n v="0"/>
    <n v="0"/>
    <n v="0"/>
    <n v="0"/>
    <n v="0"/>
    <n v="0"/>
    <n v="54"/>
    <n v="79"/>
    <n v="133"/>
    <n v="61"/>
    <n v="81"/>
    <n v="142"/>
  </r>
  <r>
    <x v="5"/>
    <s v="Quezon City"/>
    <s v="School District X"/>
    <n v="305338"/>
    <s v="Maligaya HS"/>
    <s v="Ilang-Ilang Street"/>
    <s v="5th District"/>
    <x v="9"/>
    <s v="Public"/>
    <s v="DepED Managed"/>
    <s v="School with no Annexes"/>
    <m/>
    <m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8"/>
    <n v="0"/>
    <n v="0"/>
    <n v="3"/>
    <n v="2"/>
    <n v="11"/>
    <n v="6"/>
    <n v="0"/>
    <n v="0"/>
    <n v="20"/>
    <n v="16"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0"/>
    <n v="16"/>
    <n v="36"/>
  </r>
  <r>
    <x v="5"/>
    <s v="Quezon City"/>
    <s v="School District X"/>
    <n v="305339"/>
    <s v="North Fairview HS"/>
    <s v="Auburn North Fairview"/>
    <s v="5th District"/>
    <x v="10"/>
    <s v="Public"/>
    <s v="DepED Managed"/>
    <s v="School with no Annexes"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6"/>
    <n v="8"/>
    <n v="0"/>
    <n v="1"/>
    <n v="12"/>
    <n v="13"/>
    <n v="0"/>
    <n v="0"/>
    <n v="23"/>
    <n v="24"/>
    <n v="47"/>
    <n v="1"/>
    <n v="2"/>
    <n v="3"/>
    <n v="4"/>
    <n v="2"/>
    <n v="7"/>
    <n v="2"/>
    <n v="2"/>
    <n v="0"/>
    <n v="0"/>
    <n v="5"/>
    <n v="5"/>
    <n v="0"/>
    <n v="0"/>
    <n v="0"/>
    <n v="0"/>
    <n v="0"/>
    <n v="0"/>
    <n v="0"/>
    <n v="0"/>
    <n v="0"/>
    <n v="0"/>
    <n v="2"/>
    <n v="5"/>
    <n v="2"/>
    <n v="8"/>
    <n v="3"/>
    <n v="12"/>
    <n v="1"/>
    <n v="1"/>
    <n v="0"/>
    <n v="0"/>
    <n v="10"/>
    <n v="6"/>
    <n v="0"/>
    <n v="0"/>
    <n v="0"/>
    <n v="0"/>
    <n v="0"/>
    <n v="0"/>
    <n v="31"/>
    <n v="52"/>
    <n v="83"/>
    <n v="54"/>
    <n v="76"/>
    <n v="130"/>
  </r>
  <r>
    <x v="5"/>
    <s v="Quezon City"/>
    <s v="School District X"/>
    <n v="401447"/>
    <s v="AMA Computer College-Farview"/>
    <s v="Blk 61, Lot 28-31, Bristol St. Cor. Regalado Ave., Brgy. North Fairview, Q.C."/>
    <s v="5th District"/>
    <x v="10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2"/>
    <n v="1"/>
    <n v="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2"/>
    <n v="0"/>
    <n v="0"/>
    <n v="0"/>
    <n v="0"/>
    <n v="0"/>
    <n v="0"/>
    <n v="0"/>
    <n v="6"/>
    <n v="8"/>
    <n v="14"/>
    <n v="6"/>
    <n v="8"/>
    <n v="14"/>
  </r>
  <r>
    <x v="5"/>
    <s v="Quezon City"/>
    <s v="School District X"/>
    <n v="406460"/>
    <s v="Golden Valley Academy"/>
    <s v="1 Joyville Subd"/>
    <s v="5th District"/>
    <x v="7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06464"/>
    <s v="International Christian School of Quezon City, Inc."/>
    <s v="103 General Luis Street, Novaliches"/>
    <s v="5th District"/>
    <x v="11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1"/>
    <n v="1"/>
    <n v="1"/>
    <n v="0"/>
    <n v="0"/>
    <n v="0"/>
    <n v="0"/>
    <n v="0"/>
    <n v="0"/>
    <n v="0"/>
    <n v="0"/>
    <n v="0"/>
    <n v="0"/>
    <n v="0"/>
    <n v="6"/>
    <n v="6"/>
    <n v="12"/>
    <n v="6"/>
    <n v="6"/>
    <n v="12"/>
  </r>
  <r>
    <x v="5"/>
    <s v="Quezon City"/>
    <s v="School District X"/>
    <n v="406474"/>
    <s v="Divine Grace School"/>
    <s v="Ilang-ilang Street"/>
    <s v="5th District"/>
    <x v="9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3"/>
    <n v="3"/>
    <n v="1"/>
    <n v="0"/>
    <n v="1"/>
    <n v="0"/>
    <n v="0"/>
    <n v="0"/>
    <n v="0"/>
    <n v="0"/>
    <n v="0"/>
    <n v="0"/>
    <n v="0"/>
    <n v="0"/>
    <n v="0"/>
    <n v="10"/>
    <n v="10"/>
    <n v="20"/>
    <n v="10"/>
    <n v="10"/>
    <n v="20"/>
  </r>
  <r>
    <x v="5"/>
    <s v="Quezon City"/>
    <s v="School District X"/>
    <n v="406476"/>
    <s v="Ina ng Buhay Catholic School, Inc."/>
    <s v="Jordan Heights Subdivision, Damong Maliit, Novaliches"/>
    <s v="5th District"/>
    <x v="11"/>
    <s v="Private"/>
    <s v="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06485"/>
    <s v="Our Lady of Lourdes of Novaliches (OLLSN), Inc."/>
    <s v="9 Nightingale, 14 Woodpecker Streets, ,Zabarte Subdivision"/>
    <s v="5th District"/>
    <x v="1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3"/>
    <n v="1"/>
    <n v="2"/>
    <n v="0"/>
    <n v="0"/>
    <n v="0"/>
    <n v="0"/>
    <n v="2"/>
    <n v="3"/>
    <n v="0"/>
    <n v="0"/>
    <n v="0"/>
    <n v="0"/>
    <n v="0"/>
    <n v="0"/>
    <n v="0"/>
    <n v="0"/>
    <n v="0"/>
    <n v="0"/>
    <n v="1"/>
    <n v="1"/>
    <n v="1"/>
    <n v="0"/>
    <n v="3"/>
    <n v="2"/>
    <n v="0"/>
    <n v="0"/>
    <n v="0"/>
    <n v="0"/>
    <n v="0"/>
    <n v="1"/>
    <n v="0"/>
    <n v="0"/>
    <n v="0"/>
    <n v="0"/>
    <n v="0"/>
    <n v="0"/>
    <n v="8"/>
    <n v="12"/>
    <n v="20"/>
    <n v="8"/>
    <n v="12"/>
    <n v="20"/>
  </r>
  <r>
    <x v="5"/>
    <s v="Quezon City"/>
    <s v="School District X"/>
    <n v="406486"/>
    <s v="Sacred Heart Academy of Novaliches"/>
    <s v="1155 Quirino Highway, Kaligayahan, Q.C."/>
    <s v="5th District"/>
    <x v="1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1"/>
    <n v="2"/>
    <n v="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1"/>
    <n v="0"/>
    <n v="0"/>
    <n v="0"/>
    <n v="0"/>
    <n v="0"/>
    <n v="0"/>
    <n v="8"/>
    <n v="9"/>
    <n v="17"/>
    <n v="8"/>
    <n v="9"/>
    <n v="17"/>
  </r>
  <r>
    <x v="5"/>
    <s v="Quezon City"/>
    <s v="School District X"/>
    <n v="406488"/>
    <s v="Saint Francis Xavier Catholic School"/>
    <s v="160 Champaca Street, Maligaya Park Subdivision, Novaliches"/>
    <s v="5th District"/>
    <x v="9"/>
    <s v="Private"/>
    <s v="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2"/>
    <n v="3"/>
    <n v="1"/>
    <n v="2"/>
    <n v="3"/>
  </r>
  <r>
    <x v="5"/>
    <s v="Quezon City"/>
    <s v="School District X"/>
    <n v="406510"/>
    <s v="Covenant of Grace School"/>
    <s v="#6 Pearl St. East Fairview"/>
    <s v="5th District"/>
    <x v="4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07808"/>
    <s v="Jbest School of Technology and Practical Skills - Lagro, Inc."/>
    <s v="4th Floor Lester Bldg. Km. 22 Quirino Highway, Lagro"/>
    <s v="5th District"/>
    <x v="9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1"/>
    <n v="0"/>
    <n v="4"/>
    <n v="0"/>
    <n v="0"/>
    <n v="0"/>
    <n v="0"/>
    <n v="0"/>
    <n v="0"/>
    <n v="2"/>
    <n v="6"/>
    <n v="0"/>
    <n v="0"/>
    <n v="0"/>
    <n v="0"/>
    <n v="0"/>
    <n v="0"/>
    <n v="0"/>
    <n v="0"/>
    <n v="0"/>
    <n v="0"/>
    <n v="0"/>
    <n v="3"/>
    <n v="1"/>
    <n v="3"/>
    <n v="0"/>
    <n v="0"/>
    <n v="0"/>
    <n v="0"/>
    <n v="0"/>
    <n v="0"/>
    <n v="2"/>
    <n v="9"/>
    <n v="0"/>
    <n v="0"/>
    <n v="0"/>
    <n v="0"/>
    <n v="0"/>
    <n v="0"/>
    <n v="5"/>
    <n v="26"/>
    <n v="31"/>
    <n v="5"/>
    <n v="26"/>
    <n v="31"/>
  </r>
  <r>
    <x v="5"/>
    <s v="Quezon City"/>
    <s v="School District X"/>
    <n v="410119"/>
    <s v="The Steppingstone Progressivist School Inc."/>
    <s v="25 Cavalier Street, East Fairview, Quezon City"/>
    <s v="5th District"/>
    <x v="4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504"/>
    <s v="St. Mary's School of Novaliches, Inc."/>
    <s v="Olympus Drive, North Olympus Subdivision"/>
    <s v="5th District"/>
    <x v="1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2"/>
    <n v="1"/>
    <n v="3"/>
    <n v="2"/>
    <n v="1"/>
    <n v="3"/>
  </r>
  <r>
    <x v="5"/>
    <s v="Quezon City"/>
    <s v="School District X"/>
    <n v="482521"/>
    <s v="Another Home to Grow Academy Inc. doing Business under another Home to Grow Learning Center"/>
    <s v="24 Adrian Street, North Fairview Park Subd., North Fairview, Quezon City"/>
    <s v="5th District"/>
    <x v="1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542"/>
    <s v="Sister Maria Carmela Brescia School"/>
    <s v="MC Greenfields I,"/>
    <s v="5th District"/>
    <x v="1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600"/>
    <s v="Virgen de Guadalupe de Novaliches"/>
    <s v="41 Sampaguita"/>
    <s v="5th District"/>
    <x v="9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612"/>
    <s v="Beulah Land Christian College, Inc."/>
    <s v="Mary town Circle"/>
    <s v="5th District"/>
    <x v="1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617"/>
    <s v="St. Joseph School of Fairview, Inc."/>
    <s v="Atherton"/>
    <s v="5th District"/>
    <x v="10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619"/>
    <s v="Atherton School, Inc."/>
    <s v="Blk 64 Ph 8 Atherton St. North Fairview Subdivision"/>
    <s v="5th District"/>
    <x v="10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719"/>
    <s v="Einstein School for Kids"/>
    <s v="Block 68 Lots 30-32, Hermano Mayor St., Lagro Novaliches, Qu"/>
    <s v="5th District"/>
    <x v="2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730"/>
    <s v="MSA Whiz Kids Academy, Inc."/>
    <s v="17 Bituin St. Teresa Heights"/>
    <s v="5th District"/>
    <x v="9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"/>
    <n v="482821"/>
    <s v="Discovery House Montessori of Quezon City, Inc."/>
    <s v="59 Adrian Street, North Fairview Park Subdivision, Brgy. North Fairview, Quezon City"/>
    <s v="5th District"/>
    <x v="1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I"/>
    <n v="406495"/>
    <s v="Achievers Academy of Q.C. Inc."/>
    <s v="14 Mustang Street, Fairview , Quezon City"/>
    <s v="5th District"/>
    <x v="4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I"/>
    <n v="406521"/>
    <s v="Good Shepherd Cathedral School"/>
    <s v="Omega Avenue Corner Rado St."/>
    <s v="5th District"/>
    <x v="4"/>
    <s v="Private"/>
    <s v="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I"/>
    <n v="406557"/>
    <s v="Sisters of Mt. Carmel Catholic School, Inc."/>
    <s v="6 Carmel St., Fairview Park, Q.C."/>
    <s v="5th District"/>
    <x v="4"/>
    <s v="Private"/>
    <s v="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I"/>
    <n v="406570"/>
    <s v="(HIS) Hope Integrated School, Inc"/>
    <s v="#2 Iris St., Corner Dahlia Avenue West Fairview"/>
    <s v="5th District"/>
    <x v="4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"/>
    <n v="0"/>
    <n v="0"/>
    <n v="0"/>
    <n v="0"/>
    <n v="0"/>
    <n v="0"/>
    <n v="0"/>
    <n v="0"/>
    <n v="0"/>
    <n v="0"/>
    <n v="0"/>
    <n v="0"/>
    <n v="3"/>
    <n v="4"/>
    <n v="7"/>
    <n v="3"/>
    <n v="4"/>
    <n v="7"/>
  </r>
  <r>
    <x v="5"/>
    <s v="Quezon City"/>
    <s v="School District XI"/>
    <n v="482620"/>
    <s v="Brain Integrated School, Inc."/>
    <s v="#6 Biscayne St.,"/>
    <s v="5th District"/>
    <x v="4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"/>
    <n v="410229"/>
    <s v="Jordan Woods Academy, Inc."/>
    <s v="36/38"/>
    <s v="5th District"/>
    <x v="12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4"/>
    <n v="7"/>
    <n v="8"/>
    <n v="25"/>
    <n v="3"/>
    <n v="3"/>
    <n v="2"/>
    <n v="2"/>
    <n v="0"/>
    <n v="0"/>
    <n v="27"/>
    <n v="13"/>
    <n v="0"/>
    <n v="0"/>
    <n v="0"/>
    <n v="0"/>
    <n v="0"/>
    <n v="0"/>
    <n v="0"/>
    <n v="0"/>
    <n v="0"/>
    <n v="0"/>
    <n v="8"/>
    <n v="10"/>
    <n v="9"/>
    <n v="18"/>
    <n v="4"/>
    <n v="11"/>
    <n v="0"/>
    <n v="0"/>
    <n v="0"/>
    <n v="0"/>
    <n v="18"/>
    <n v="16"/>
    <n v="0"/>
    <n v="0"/>
    <n v="0"/>
    <n v="0"/>
    <n v="0"/>
    <n v="0"/>
    <n v="83"/>
    <n v="105"/>
    <n v="188"/>
    <n v="83"/>
    <n v="105"/>
    <n v="188"/>
  </r>
  <r>
    <x v="5"/>
    <s v="Quezon City"/>
    <s v="School District XVI"/>
    <n v="136520"/>
    <s v="Bagbag Elementary School"/>
    <s v="L5 B5 RICHLAND 5 SUBDIVISION BARANGAY BAGBAG QUEZON CITY"/>
    <s v="5th District"/>
    <x v="5"/>
    <s v="Public"/>
    <s v="DepED Managed"/>
    <s v="School with no Annexes"/>
    <m/>
    <m/>
    <s v="Purely ES"/>
    <n v="0"/>
    <n v="0"/>
    <n v="0"/>
    <n v="0"/>
    <n v="1"/>
    <n v="2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"/>
    <n v="2"/>
    <n v="3"/>
  </r>
  <r>
    <x v="5"/>
    <s v="Quezon City"/>
    <s v="School District XVI"/>
    <n v="136521"/>
    <s v="Goodwill ES"/>
    <s v="-Noah St. Goodwill Homes II, Bagbag"/>
    <s v="5th District"/>
    <x v="5"/>
    <s v="Public"/>
    <s v="DepED Managed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"/>
    <n v="136523"/>
    <s v="Odelco Elementary School"/>
    <s v="Orange Street, Odelco Subdivision, Novaliches"/>
    <s v="5th District"/>
    <x v="6"/>
    <s v="Public"/>
    <s v="DepED Managed"/>
    <s v="School with no Annexes"/>
    <m/>
    <m/>
    <s v="Purely ES"/>
    <n v="1"/>
    <n v="0"/>
    <n v="1"/>
    <n v="0"/>
    <n v="1"/>
    <n v="1"/>
    <n v="0"/>
    <n v="0"/>
    <n v="0"/>
    <n v="1"/>
    <n v="5"/>
    <n v="3"/>
    <n v="0"/>
    <n v="0"/>
    <n v="0"/>
    <n v="2"/>
    <n v="8"/>
    <n v="7"/>
    <n v="15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8"/>
    <n v="7"/>
    <n v="15"/>
  </r>
  <r>
    <x v="5"/>
    <s v="Quezon City"/>
    <s v="School District XVI"/>
    <n v="136525"/>
    <s v="San Bartolome ES"/>
    <s v="Quirino Highway"/>
    <s v="5th District"/>
    <x v="6"/>
    <s v="Public"/>
    <s v="DepED Managed"/>
    <s v="School with no Annexes"/>
    <m/>
    <m/>
    <s v="Purely ES"/>
    <n v="1"/>
    <n v="0"/>
    <n v="0"/>
    <n v="0"/>
    <n v="0"/>
    <n v="0"/>
    <n v="0"/>
    <n v="0"/>
    <n v="0"/>
    <n v="0"/>
    <n v="0"/>
    <n v="1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"/>
    <n v="1"/>
    <n v="2"/>
  </r>
  <r>
    <x v="5"/>
    <s v="Quezon City"/>
    <s v="School District XVI"/>
    <n v="482834"/>
    <s v="Escuela De Corazon of Quezon City, Inc."/>
    <s v="Lot4-A Magsaysay St.,Doña Faustina  Subd., San Bartolome, Novaliches, Quezon City"/>
    <s v="5th District"/>
    <x v="6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"/>
    <n v="482835"/>
    <s v="Little Stephanie Learning School, Inc."/>
    <s v="#111 P. Dela Cruz St.,"/>
    <s v="5th District"/>
    <x v="6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"/>
    <n v="482929"/>
    <s v="Our Lady of the Angels Seminary-College, Inc."/>
    <s v="Seminary Road, Novaliches"/>
    <s v="5th District"/>
    <x v="5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</r>
  <r>
    <x v="5"/>
    <s v="Quezon City"/>
    <s v="School District XVI"/>
    <n v="482941"/>
    <s v="Little Anak Learning School, Inc."/>
    <s v="9 Silver St., Rockville Subdivision"/>
    <s v="5th District"/>
    <x v="6"/>
    <s v="Private"/>
    <s v="Non-Sectarian "/>
    <s v="School with no Annexes"/>
    <m/>
    <m/>
    <s v="ES and J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"/>
    <n v="136527"/>
    <s v="Dona Rosario Elementary School"/>
    <s v="Panday Pira Street"/>
    <s v="5th District"/>
    <x v="8"/>
    <s v="Public"/>
    <s v="DepED Managed"/>
    <s v="School with no Annexes"/>
    <m/>
    <m/>
    <s v="Purely ES"/>
    <n v="0"/>
    <n v="0"/>
    <n v="0"/>
    <n v="0"/>
    <n v="0"/>
    <n v="0"/>
    <n v="0"/>
    <n v="0"/>
    <n v="0"/>
    <n v="0"/>
    <n v="0"/>
    <n v="0"/>
    <n v="4"/>
    <n v="4"/>
    <n v="0"/>
    <n v="0"/>
    <n v="4"/>
    <n v="4"/>
    <n v="8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4"/>
    <n v="4"/>
    <n v="8"/>
  </r>
  <r>
    <x v="5"/>
    <s v="Quezon City"/>
    <s v="School District XVII"/>
    <n v="136528"/>
    <s v="Rosa L. Susano - Novaliches ES"/>
    <s v="Gulod"/>
    <s v="5th District"/>
    <x v="3"/>
    <s v="Public"/>
    <s v="DepED Managed"/>
    <s v="School with no Annexes"/>
    <m/>
    <m/>
    <s v="Purely ES"/>
    <n v="5"/>
    <n v="3"/>
    <n v="5"/>
    <n v="9"/>
    <n v="11"/>
    <n v="8"/>
    <n v="5"/>
    <n v="10"/>
    <n v="6"/>
    <n v="11"/>
    <n v="23"/>
    <n v="14"/>
    <n v="53"/>
    <n v="60"/>
    <n v="1"/>
    <n v="1"/>
    <n v="109"/>
    <n v="116"/>
    <n v="225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09"/>
    <n v="116"/>
    <n v="225"/>
  </r>
  <r>
    <x v="5"/>
    <s v="Quezon City"/>
    <s v="School District XVII"/>
    <n v="136529"/>
    <s v="San Gabriel ES"/>
    <s v="A. Bonifacio"/>
    <s v="5th District"/>
    <x v="0"/>
    <s v="Public"/>
    <s v="DepED Managed"/>
    <s v="School with no Annexes"/>
    <m/>
    <m/>
    <s v="Purely ES"/>
    <n v="0"/>
    <n v="1"/>
    <n v="0"/>
    <n v="0"/>
    <n v="0"/>
    <n v="0"/>
    <n v="2"/>
    <n v="0"/>
    <n v="1"/>
    <n v="1"/>
    <n v="1"/>
    <n v="0"/>
    <n v="0"/>
    <n v="0"/>
    <n v="0"/>
    <n v="0"/>
    <n v="4"/>
    <n v="2"/>
    <n v="6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4"/>
    <n v="2"/>
    <n v="6"/>
  </r>
  <r>
    <x v="5"/>
    <s v="Quezon City"/>
    <s v="School District XVII"/>
    <n v="136530"/>
    <s v="Villa Verde Elementary School"/>
    <s v="Villa Verde Avenue, Villa Verde Homes"/>
    <s v="5th District"/>
    <x v="12"/>
    <s v="Public"/>
    <s v="DepED Managed"/>
    <s v="School with no Annexes"/>
    <m/>
    <m/>
    <s v="Purely ES"/>
    <n v="0"/>
    <n v="0"/>
    <n v="0"/>
    <n v="0"/>
    <n v="3"/>
    <n v="2"/>
    <n v="0"/>
    <n v="0"/>
    <n v="4"/>
    <n v="6"/>
    <n v="2"/>
    <n v="0"/>
    <n v="3"/>
    <n v="4"/>
    <n v="0"/>
    <n v="0"/>
    <n v="12"/>
    <n v="12"/>
    <n v="24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2"/>
    <n v="12"/>
    <n v="24"/>
  </r>
  <r>
    <x v="5"/>
    <s v="Quezon City"/>
    <s v="School District XVII"/>
    <n v="136538"/>
    <s v="San Agustin ES"/>
    <s v="Heavenly Dr. St. San Agustin,  Novaliches, Quezon City"/>
    <s v="5th District"/>
    <x v="7"/>
    <s v="Public"/>
    <s v="DepED Managed"/>
    <s v="School with no Annexes"/>
    <m/>
    <m/>
    <s v="Purely ES"/>
    <n v="1"/>
    <n v="0"/>
    <n v="0"/>
    <n v="0"/>
    <n v="0"/>
    <n v="1"/>
    <n v="1"/>
    <n v="0"/>
    <n v="2"/>
    <n v="3"/>
    <n v="0"/>
    <n v="3"/>
    <n v="1"/>
    <n v="2"/>
    <n v="1"/>
    <n v="0"/>
    <n v="6"/>
    <n v="9"/>
    <n v="15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6"/>
    <n v="9"/>
    <n v="15"/>
  </r>
  <r>
    <x v="5"/>
    <s v="Quezon City"/>
    <s v="School District XVII"/>
    <n v="340697"/>
    <s v="Jose Maria Panganiban Senior High School"/>
    <s v="Gulod Novaliches, Quezon City"/>
    <s v="5th District"/>
    <x v="3"/>
    <s v="Public"/>
    <s v="DepED Managed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0"/>
    <n v="0"/>
    <n v="3"/>
    <n v="0"/>
    <n v="0"/>
    <n v="0"/>
    <n v="0"/>
    <n v="0"/>
    <n v="0"/>
    <n v="2"/>
    <n v="7"/>
    <n v="0"/>
    <n v="0"/>
    <n v="0"/>
    <n v="0"/>
    <n v="0"/>
    <n v="0"/>
    <n v="0"/>
    <n v="0"/>
    <n v="0"/>
    <n v="0"/>
    <n v="2"/>
    <n v="2"/>
    <n v="3"/>
    <n v="4"/>
    <n v="0"/>
    <n v="0"/>
    <n v="0"/>
    <n v="0"/>
    <n v="0"/>
    <n v="0"/>
    <n v="4"/>
    <n v="5"/>
    <n v="0"/>
    <n v="0"/>
    <n v="0"/>
    <n v="0"/>
    <n v="0"/>
    <n v="0"/>
    <n v="12"/>
    <n v="21"/>
    <n v="33"/>
    <n v="12"/>
    <n v="21"/>
    <n v="33"/>
  </r>
  <r>
    <x v="5"/>
    <s v="Quezon City"/>
    <s v="School District XVII"/>
    <n v="409329"/>
    <s v="Capstone Highest Achiever Learning School Inc."/>
    <s v="Block 10 Lot 2 Queens Road corner Northwind Subdivision, Nagkaisang Nayon, Novaliches, Quezon City"/>
    <s v="5th District"/>
    <x v="11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"/>
    <n v="409731"/>
    <s v="St. Anthony School of Sta. Lucia Inc."/>
    <s v="33 F. Balagtas Street, Sta. Lucia, Novaliches, Quezon City"/>
    <s v="5th District"/>
    <x v="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"/>
    <n v="409737"/>
    <s v="Trinity Polytechnic College, Inc."/>
    <s v="892 Alfina Bldg. Quirino Highway, Brgy. Gulod, Novaliches, Quezon City"/>
    <s v="5th District"/>
    <x v="8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1"/>
    <n v="0"/>
    <n v="4"/>
    <n v="5"/>
    <n v="4"/>
    <n v="5"/>
    <n v="1"/>
    <n v="1"/>
    <n v="0"/>
    <n v="0"/>
    <n v="2"/>
    <n v="3"/>
    <n v="0"/>
    <n v="0"/>
    <n v="0"/>
    <n v="0"/>
    <n v="0"/>
    <n v="0"/>
    <n v="0"/>
    <n v="0"/>
    <n v="0"/>
    <n v="0"/>
    <n v="1"/>
    <n v="7"/>
    <n v="3"/>
    <n v="6"/>
    <n v="1"/>
    <n v="6"/>
    <n v="0"/>
    <n v="3"/>
    <n v="0"/>
    <n v="0"/>
    <n v="4"/>
    <n v="7"/>
    <n v="0"/>
    <n v="0"/>
    <n v="0"/>
    <n v="0"/>
    <n v="0"/>
    <n v="0"/>
    <n v="21"/>
    <n v="43"/>
    <n v="64"/>
    <n v="21"/>
    <n v="43"/>
    <n v="64"/>
  </r>
  <r>
    <x v="5"/>
    <s v="Quezon City"/>
    <s v="School District XVII"/>
    <n v="482836"/>
    <s v="John Mark Christian School of Novaliches, Inc."/>
    <s v="#29 Petronia St., Buenamar Subd. Novaliches, Quezon City"/>
    <s v="5th District"/>
    <x v="8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"/>
    <n v="482890"/>
    <s v="School of the Corpus Christi (Quezon City), Inc."/>
    <s v="L5B2, Atis Cor. Avocado Rds.,  Phase 1-A, Palmera,"/>
    <s v="5th District"/>
    <x v="12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"/>
    <n v="482963"/>
    <s v="St. Alexis Community School of QC., Inc"/>
    <s v="#27 Diego Silang St., Rivera Ville, Sta. Lucia, Novaliches, Quezon City"/>
    <s v="5th District"/>
    <x v="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"/>
    <n v="482978"/>
    <s v="Kingsville Learning Center, Inc."/>
    <s v="6 Diego Silang St., Sta Lucia, Nova."/>
    <s v="5th District"/>
    <x v="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136531"/>
    <s v="Damong Maliit ES"/>
    <s v="#18 Trinidad Avenue, Nagkaisang Nayon"/>
    <s v="5th District"/>
    <x v="11"/>
    <s v="Public"/>
    <s v="DepED Managed"/>
    <s v="School with no Annexes"/>
    <m/>
    <m/>
    <s v="Purely ES"/>
    <n v="0"/>
    <n v="0"/>
    <n v="1"/>
    <n v="0"/>
    <n v="0"/>
    <n v="0"/>
    <n v="0"/>
    <n v="0"/>
    <n v="0"/>
    <n v="0"/>
    <n v="0"/>
    <n v="0"/>
    <n v="0"/>
    <n v="1"/>
    <n v="0"/>
    <n v="0"/>
    <n v="1"/>
    <n v="1"/>
    <n v="2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"/>
    <n v="1"/>
    <n v="2"/>
  </r>
  <r>
    <x v="5"/>
    <s v="Quezon City"/>
    <s v="School District XVIII"/>
    <n v="136532"/>
    <s v="Delfin M. Geraldez Memorial ES"/>
    <s v="12 Salvia St., Kaligayahan"/>
    <s v="5th District"/>
    <x v="1"/>
    <s v="Public"/>
    <s v="DepED Managed"/>
    <s v="School with no Annexes"/>
    <m/>
    <m/>
    <s v="Purely ES"/>
    <n v="0"/>
    <n v="0"/>
    <n v="1"/>
    <n v="2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"/>
    <n v="2"/>
    <n v="3"/>
  </r>
  <r>
    <x v="5"/>
    <s v="Quezon City"/>
    <s v="School District XVIII"/>
    <n v="136533"/>
    <s v="Kaligayahan ES"/>
    <s v="Rivera Compound"/>
    <s v="5th District"/>
    <x v="1"/>
    <s v="Public"/>
    <s v="DepED Managed"/>
    <s v="School with no Annexes"/>
    <m/>
    <m/>
    <s v="Purely ES"/>
    <n v="0"/>
    <n v="0"/>
    <n v="0"/>
    <n v="0"/>
    <n v="0"/>
    <n v="0"/>
    <n v="2"/>
    <n v="2"/>
    <n v="0"/>
    <n v="0"/>
    <n v="0"/>
    <n v="0"/>
    <n v="0"/>
    <n v="0"/>
    <n v="0"/>
    <n v="0"/>
    <n v="2"/>
    <n v="2"/>
    <n v="4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"/>
    <n v="2"/>
    <n v="4"/>
  </r>
  <r>
    <x v="5"/>
    <s v="Quezon City"/>
    <s v="School District XVIII"/>
    <n v="136534"/>
    <s v="Lagro ES"/>
    <s v="Ascension Ave."/>
    <s v="5th District"/>
    <x v="2"/>
    <s v="Public"/>
    <s v="DepED Managed"/>
    <s v="School with no Annexes"/>
    <m/>
    <m/>
    <s v="Purely ES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"/>
    <n v="1"/>
  </r>
  <r>
    <x v="5"/>
    <s v="Quezon City"/>
    <s v="School District XVIII"/>
    <n v="136535"/>
    <s v="Maligaya ES"/>
    <s v="Ilang-Ilang Pasong Putik Proper QC"/>
    <s v="5th District"/>
    <x v="9"/>
    <s v="Public"/>
    <s v="DepED Managed"/>
    <s v="School with no Annexes"/>
    <m/>
    <m/>
    <s v="Purely ES"/>
    <n v="0"/>
    <n v="0"/>
    <n v="7"/>
    <n v="4"/>
    <n v="4"/>
    <n v="6"/>
    <n v="1"/>
    <n v="6"/>
    <n v="3"/>
    <n v="6"/>
    <n v="1"/>
    <n v="1"/>
    <n v="14"/>
    <n v="7"/>
    <n v="0"/>
    <n v="0"/>
    <n v="30"/>
    <n v="30"/>
    <n v="6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0"/>
    <n v="30"/>
    <n v="60"/>
  </r>
  <r>
    <x v="5"/>
    <s v="Quezon City"/>
    <s v="School District XVIII"/>
    <n v="136536"/>
    <s v="Nagkaisang Nayon ES"/>
    <s v="-Mayon St.,Brgy Nagkaisang Nayon Q. C."/>
    <s v="5th District"/>
    <x v="11"/>
    <s v="Public"/>
    <s v="DepED Managed"/>
    <s v="School with no Annexes"/>
    <m/>
    <m/>
    <s v="Purely ES"/>
    <n v="0"/>
    <n v="0"/>
    <n v="1"/>
    <n v="0"/>
    <n v="0"/>
    <n v="0"/>
    <n v="1"/>
    <n v="0"/>
    <n v="9"/>
    <n v="15"/>
    <n v="0"/>
    <n v="0"/>
    <n v="9"/>
    <n v="14"/>
    <n v="0"/>
    <n v="0"/>
    <n v="20"/>
    <n v="29"/>
    <n v="49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0"/>
    <n v="29"/>
    <n v="49"/>
  </r>
  <r>
    <x v="5"/>
    <s v="Quezon City"/>
    <s v="School District XVIII"/>
    <n v="136537"/>
    <s v="North Fairview ES"/>
    <s v="Avon St.,Cor. Astor"/>
    <s v="5th District"/>
    <x v="10"/>
    <s v="Public"/>
    <s v="DepED Managed"/>
    <s v="School with no Annexes"/>
    <m/>
    <m/>
    <s v="Purely ES"/>
    <n v="2"/>
    <n v="1"/>
    <n v="1"/>
    <n v="2"/>
    <n v="0"/>
    <n v="0"/>
    <n v="10"/>
    <n v="7"/>
    <n v="8"/>
    <n v="5"/>
    <n v="0"/>
    <n v="0"/>
    <n v="4"/>
    <n v="7"/>
    <n v="0"/>
    <n v="0"/>
    <n v="25"/>
    <n v="22"/>
    <n v="47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5"/>
    <n v="22"/>
    <n v="47"/>
  </r>
  <r>
    <x v="5"/>
    <s v="Quezon City"/>
    <s v="School District XVIII"/>
    <n v="136543"/>
    <s v="Fairview ES"/>
    <s v="Fairlane St. Fairview Quezon City"/>
    <s v="5th District"/>
    <x v="4"/>
    <s v="Public"/>
    <s v="DepED Managed"/>
    <s v="School with no Annexes"/>
    <m/>
    <m/>
    <s v="Purely ES"/>
    <n v="1"/>
    <n v="2"/>
    <n v="1"/>
    <n v="2"/>
    <n v="0"/>
    <n v="1"/>
    <n v="3"/>
    <n v="1"/>
    <n v="0"/>
    <n v="0"/>
    <n v="5"/>
    <n v="2"/>
    <n v="2"/>
    <n v="3"/>
    <n v="0"/>
    <n v="0"/>
    <n v="12"/>
    <n v="11"/>
    <n v="23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2"/>
    <n v="11"/>
    <n v="23"/>
  </r>
  <r>
    <x v="5"/>
    <s v="Quezon City"/>
    <s v="School District XVIII"/>
    <n v="222501"/>
    <s v="West Fairview Elementary School"/>
    <s v="Austin St. West Fairview"/>
    <s v="5th District"/>
    <x v="13"/>
    <s v="Public"/>
    <s v="DepED Managed"/>
    <s v="School with no Annexes"/>
    <m/>
    <m/>
    <s v="Purely ES"/>
    <n v="3"/>
    <n v="1"/>
    <n v="0"/>
    <n v="0"/>
    <n v="1"/>
    <n v="0"/>
    <n v="4"/>
    <n v="0"/>
    <n v="3"/>
    <n v="6"/>
    <n v="2"/>
    <n v="1"/>
    <n v="4"/>
    <n v="7"/>
    <n v="0"/>
    <n v="0"/>
    <n v="17"/>
    <n v="15"/>
    <n v="32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7"/>
    <n v="15"/>
    <n v="32"/>
  </r>
  <r>
    <x v="5"/>
    <s v="Quezon City"/>
    <s v="School District XVIII"/>
    <n v="305635"/>
    <s v="West Fairview High School"/>
    <s v="Austin Street, Fairview Park"/>
    <s v="5th District"/>
    <x v="4"/>
    <s v="Public"/>
    <s v="DepED Managed"/>
    <s v="School with no Annexes"/>
    <m/>
    <m/>
    <s v="Purely J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1"/>
    <n v="1"/>
    <n v="9"/>
    <n v="5"/>
    <n v="13"/>
    <n v="8"/>
    <n v="0"/>
    <n v="0"/>
    <n v="24"/>
    <n v="17"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4"/>
    <n v="17"/>
    <n v="41"/>
  </r>
  <r>
    <x v="5"/>
    <s v="Quezon City"/>
    <s v="School District XVIII"/>
    <n v="408390"/>
    <s v="Active Thinkers Child Development Center Inc."/>
    <s v="41 Mustang Street, West Fairview, Quezon City"/>
    <s v="5th District"/>
    <x v="4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408616"/>
    <s v="JLM  Creative Learner's Home, Inc."/>
    <s v="The Redwoods Condominium, Sales Pavilion, Quirino Highway, Fairview, Quezon City"/>
    <s v="5th District"/>
    <x v="9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408783"/>
    <s v="The Growing Place Learning Center, Inc."/>
    <s v="12 Fiat Street, West Fairview Park Subd., Quezon City"/>
    <s v="5th District"/>
    <x v="4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408851"/>
    <s v="Integrated Innovation and Hospitality Colleges, Inc."/>
    <s v="C. I. Plaza Building, Zabarte Road, Novaliches"/>
    <s v="5th District"/>
    <x v="1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1"/>
    <n v="5"/>
    <n v="14"/>
    <n v="2"/>
    <n v="1"/>
    <n v="0"/>
    <n v="0"/>
    <n v="0"/>
    <n v="0"/>
    <n v="5"/>
    <n v="4"/>
    <n v="0"/>
    <n v="0"/>
    <n v="0"/>
    <n v="0"/>
    <n v="0"/>
    <n v="0"/>
    <n v="0"/>
    <n v="0"/>
    <n v="0"/>
    <n v="0"/>
    <n v="0"/>
    <n v="0"/>
    <n v="6"/>
    <n v="8"/>
    <n v="6"/>
    <n v="5"/>
    <n v="2"/>
    <n v="0"/>
    <n v="0"/>
    <n v="0"/>
    <n v="3"/>
    <n v="5"/>
    <n v="0"/>
    <n v="0"/>
    <n v="0"/>
    <n v="0"/>
    <n v="0"/>
    <n v="0"/>
    <n v="29"/>
    <n v="38"/>
    <n v="67"/>
    <n v="29"/>
    <n v="38"/>
    <n v="67"/>
  </r>
  <r>
    <x v="5"/>
    <s v="Quezon City"/>
    <s v="School District XVIII"/>
    <n v="409734"/>
    <s v="Lincoln School of Arts and Languages Inc."/>
    <s v="Lot 2 &amp; 4, Block 229, Mindanao Avenue, Extension, Neopolitan Subdivision"/>
    <s v="5th District"/>
    <x v="9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</r>
  <r>
    <x v="5"/>
    <s v="Quezon City"/>
    <s v="School District XVIII"/>
    <n v="409888"/>
    <s v="Johnryn Learning School of Quezon City Inc."/>
    <s v="Block 213 Lot 21 Yuan Street, Phase 8 North Fairview, Quezon City"/>
    <s v="5th District"/>
    <x v="4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482709"/>
    <s v="Operation Brotherhood Montessori Center"/>
    <s v="Napoli St, Neopolitan IV, Brittany Subd."/>
    <s v="5th District"/>
    <x v="6"/>
    <s v="Private"/>
    <s v="Non-Sectarian "/>
    <s v="School with no Annexes"/>
    <m/>
    <m/>
    <s v="All Offering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482891"/>
    <s v="The Fountain of Life School of Quezon City, Inc."/>
    <s v="433 Drachma Street"/>
    <s v="5th District"/>
    <x v="10"/>
    <s v="Private"/>
    <s v="Non-Sectarian "/>
    <s v="School with no Annexes"/>
    <m/>
    <m/>
    <s v="Purely E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x v="5"/>
    <s v="Quezon City"/>
    <s v="School District XVIII"/>
    <n v="482971"/>
    <s v="Datamex - College of Saint Adeline, Inc."/>
    <s v="Datamex Bldg., 5 Commonwealth Avenue"/>
    <s v="5th District"/>
    <x v="4"/>
    <s v="Private"/>
    <s v="Non-Sectarian "/>
    <s v="School with no Annexes"/>
    <m/>
    <m/>
    <s v="Purely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6"/>
    <n v="9"/>
    <n v="26"/>
    <n v="14"/>
    <n v="5"/>
    <n v="7"/>
    <n v="2"/>
    <n v="1"/>
    <n v="0"/>
    <n v="0"/>
    <n v="16"/>
    <n v="19"/>
    <n v="0"/>
    <n v="0"/>
    <n v="0"/>
    <n v="0"/>
    <n v="0"/>
    <n v="0"/>
    <n v="0"/>
    <n v="0"/>
    <n v="0"/>
    <n v="0"/>
    <n v="3"/>
    <n v="16"/>
    <n v="31"/>
    <n v="25"/>
    <n v="13"/>
    <n v="13"/>
    <n v="0"/>
    <n v="2"/>
    <n v="0"/>
    <n v="0"/>
    <n v="28"/>
    <n v="25"/>
    <n v="0"/>
    <n v="0"/>
    <n v="0"/>
    <n v="0"/>
    <n v="0"/>
    <n v="0"/>
    <n v="130"/>
    <n v="131"/>
    <n v="261"/>
    <n v="130"/>
    <n v="131"/>
    <n v="261"/>
  </r>
  <r>
    <x v="5"/>
    <s v="Quezon City"/>
    <s v="School District XVIII"/>
    <n v="482987"/>
    <s v="APEC Schools"/>
    <s v="Tanya Bldg., Lot 10 &amp; 12 Block 43, Regalado Avenue Cor. Bronx St., Brgy. North Fairview, Quezon City"/>
    <s v="5th District"/>
    <x v="10"/>
    <s v="Private"/>
    <s v="Non-Sectarian "/>
    <s v="School with no Annexes"/>
    <m/>
    <m/>
    <s v="JHS with SHS"/>
    <m/>
    <m/>
    <m/>
    <m/>
    <m/>
    <m/>
    <m/>
    <m/>
    <m/>
    <m/>
    <m/>
    <m/>
    <m/>
    <m/>
    <m/>
    <m/>
    <n v="0"/>
    <n v="0"/>
    <n v="0"/>
    <m/>
    <m/>
    <m/>
    <m/>
    <m/>
    <m/>
    <m/>
    <m/>
    <m/>
    <m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2"/>
    <n v="5"/>
    <n v="7"/>
    <n v="2"/>
    <n v="5"/>
    <n v="7"/>
  </r>
  <r>
    <x v="5"/>
    <s v="Quezon City"/>
    <s v="School District XIX"/>
    <n v="360867"/>
    <s v="Leandro Locsin Integrated School"/>
    <s v="Rivera Compound"/>
    <s v="5th District"/>
    <x v="1"/>
    <s v="Public"/>
    <s v="DepED Managed"/>
    <s v="School with no Annexes"/>
    <m/>
    <m/>
    <s v="JHS with SH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3"/>
    <n v="1"/>
    <n v="4"/>
    <n v="0"/>
    <n v="0"/>
    <n v="3"/>
    <n v="3"/>
    <n v="1"/>
    <n v="2"/>
    <n v="0"/>
    <n v="0"/>
    <n v="0"/>
    <n v="0"/>
    <n v="1"/>
    <n v="2"/>
    <n v="0"/>
    <n v="0"/>
    <n v="0"/>
    <n v="0"/>
    <n v="0"/>
    <n v="0"/>
    <n v="0"/>
    <n v="0"/>
    <n v="0"/>
    <n v="0"/>
    <n v="1"/>
    <n v="2"/>
    <n v="3"/>
    <n v="3"/>
    <n v="0"/>
    <n v="0"/>
    <n v="0"/>
    <n v="0"/>
    <n v="0"/>
    <n v="0"/>
    <n v="6"/>
    <n v="0"/>
    <n v="0"/>
    <n v="0"/>
    <n v="0"/>
    <n v="0"/>
    <n v="0"/>
    <n v="0"/>
    <n v="15"/>
    <n v="12"/>
    <n v="27"/>
    <n v="18"/>
    <n v="13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6B336-8615-4CCF-8AC2-EA6D68AE695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H23" firstHeaderRow="1" firstDataRow="2" firstDataCol="1"/>
  <pivotFields count="92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x="4"/>
        <item x="2"/>
        <item x="3"/>
        <item x="13"/>
        <item x="1"/>
        <item x="11"/>
        <item x="10"/>
        <item x="8"/>
        <item x="9"/>
        <item x="7"/>
        <item x="6"/>
        <item x="0"/>
        <item x="12"/>
        <item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4" fld="9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78A-305F-47E7-B1EB-D84BF8C6DB7A}">
  <dimension ref="A1:H23"/>
  <sheetViews>
    <sheetView workbookViewId="0">
      <selection activeCell="A28" sqref="A28"/>
    </sheetView>
  </sheetViews>
  <sheetFormatPr defaultRowHeight="14.4" x14ac:dyDescent="0.3"/>
  <cols>
    <col min="1" max="1" width="34.6640625" bestFit="1" customWidth="1"/>
    <col min="2" max="2" width="15.5546875" bestFit="1" customWidth="1"/>
    <col min="3" max="7" width="12.109375" bestFit="1" customWidth="1"/>
    <col min="8" max="8" width="10.5546875" bestFit="1" customWidth="1"/>
  </cols>
  <sheetData>
    <row r="1" spans="1:8" x14ac:dyDescent="0.3">
      <c r="A1" t="s">
        <v>527</v>
      </c>
    </row>
    <row r="2" spans="1:8" x14ac:dyDescent="0.3">
      <c r="A2" t="s">
        <v>528</v>
      </c>
    </row>
    <row r="3" spans="1:8" x14ac:dyDescent="0.3">
      <c r="A3" t="s">
        <v>529</v>
      </c>
    </row>
    <row r="4" spans="1:8" x14ac:dyDescent="0.3">
      <c r="A4" t="s">
        <v>530</v>
      </c>
    </row>
    <row r="7" spans="1:8" x14ac:dyDescent="0.3">
      <c r="A7" s="29" t="s">
        <v>525</v>
      </c>
      <c r="B7" s="29" t="s">
        <v>526</v>
      </c>
    </row>
    <row r="8" spans="1:8" x14ac:dyDescent="0.3">
      <c r="A8" s="29" t="s">
        <v>524</v>
      </c>
      <c r="B8" t="s">
        <v>0</v>
      </c>
      <c r="C8" t="s">
        <v>403</v>
      </c>
      <c r="D8" t="s">
        <v>422</v>
      </c>
      <c r="E8" t="s">
        <v>423</v>
      </c>
      <c r="F8" t="s">
        <v>465</v>
      </c>
      <c r="G8" t="s">
        <v>486</v>
      </c>
      <c r="H8" t="s">
        <v>464</v>
      </c>
    </row>
    <row r="9" spans="1:8" x14ac:dyDescent="0.3">
      <c r="A9" s="30" t="s">
        <v>138</v>
      </c>
      <c r="B9" s="31">
        <v>76</v>
      </c>
      <c r="C9" s="31">
        <v>40</v>
      </c>
      <c r="D9" s="31">
        <v>17</v>
      </c>
      <c r="E9" s="31">
        <v>49</v>
      </c>
      <c r="F9" s="31">
        <v>247</v>
      </c>
      <c r="G9" s="31">
        <v>317</v>
      </c>
      <c r="H9" s="31">
        <v>746</v>
      </c>
    </row>
    <row r="10" spans="1:8" x14ac:dyDescent="0.3">
      <c r="A10" s="30" t="s">
        <v>136</v>
      </c>
      <c r="B10" s="31">
        <v>98</v>
      </c>
      <c r="C10" s="31">
        <v>69</v>
      </c>
      <c r="D10" s="31">
        <v>34</v>
      </c>
      <c r="E10" s="31">
        <v>437</v>
      </c>
      <c r="F10" s="31">
        <v>544</v>
      </c>
      <c r="G10" s="31">
        <v>374</v>
      </c>
      <c r="H10" s="31">
        <v>1556</v>
      </c>
    </row>
    <row r="11" spans="1:8" x14ac:dyDescent="0.3">
      <c r="A11" s="30" t="s">
        <v>129</v>
      </c>
      <c r="B11" s="31">
        <v>180</v>
      </c>
      <c r="C11" s="31">
        <v>104</v>
      </c>
      <c r="D11" s="31">
        <v>168</v>
      </c>
      <c r="E11" s="31">
        <v>588</v>
      </c>
      <c r="F11" s="31">
        <v>645</v>
      </c>
      <c r="G11" s="31">
        <v>421</v>
      </c>
      <c r="H11" s="31">
        <v>2106</v>
      </c>
    </row>
    <row r="12" spans="1:8" x14ac:dyDescent="0.3">
      <c r="A12" s="30" t="s">
        <v>133</v>
      </c>
      <c r="B12" s="31">
        <v>492</v>
      </c>
      <c r="C12" s="31">
        <v>638</v>
      </c>
      <c r="D12" s="31">
        <v>649</v>
      </c>
      <c r="E12" s="31">
        <v>647</v>
      </c>
      <c r="F12" s="31">
        <v>603</v>
      </c>
      <c r="G12" s="31">
        <v>313</v>
      </c>
      <c r="H12" s="31">
        <v>3342</v>
      </c>
    </row>
    <row r="13" spans="1:8" x14ac:dyDescent="0.3">
      <c r="A13" s="30" t="s">
        <v>351</v>
      </c>
      <c r="B13" s="31">
        <v>9</v>
      </c>
      <c r="C13" s="31">
        <v>15</v>
      </c>
      <c r="D13" s="31">
        <v>10</v>
      </c>
      <c r="E13" s="31">
        <v>31</v>
      </c>
      <c r="F13" s="31">
        <v>57</v>
      </c>
      <c r="G13" s="31">
        <v>32</v>
      </c>
      <c r="H13" s="31">
        <v>154</v>
      </c>
    </row>
    <row r="14" spans="1:8" x14ac:dyDescent="0.3">
      <c r="A14" s="30" t="s">
        <v>122</v>
      </c>
      <c r="B14" s="31">
        <v>98</v>
      </c>
      <c r="C14" s="31">
        <v>54</v>
      </c>
      <c r="D14" s="31">
        <v>22</v>
      </c>
      <c r="E14" s="31">
        <v>401</v>
      </c>
      <c r="F14" s="31">
        <v>406</v>
      </c>
      <c r="G14" s="31">
        <v>200</v>
      </c>
      <c r="H14" s="31">
        <v>1181</v>
      </c>
    </row>
    <row r="15" spans="1:8" x14ac:dyDescent="0.3">
      <c r="A15" s="30" t="s">
        <v>217</v>
      </c>
      <c r="B15" s="31">
        <v>25</v>
      </c>
      <c r="C15" s="31">
        <v>13</v>
      </c>
      <c r="D15" s="31">
        <v>126</v>
      </c>
      <c r="E15" s="31">
        <v>8</v>
      </c>
      <c r="F15" s="31">
        <v>57</v>
      </c>
      <c r="G15" s="31">
        <v>63</v>
      </c>
      <c r="H15" s="31">
        <v>292</v>
      </c>
    </row>
    <row r="16" spans="1:8" x14ac:dyDescent="0.3">
      <c r="A16" s="30" t="s">
        <v>191</v>
      </c>
      <c r="B16" s="31">
        <v>254</v>
      </c>
      <c r="C16" s="31">
        <v>259</v>
      </c>
      <c r="D16" s="31">
        <v>138</v>
      </c>
      <c r="E16" s="31">
        <v>250</v>
      </c>
      <c r="F16" s="31">
        <v>196</v>
      </c>
      <c r="G16" s="31">
        <v>198</v>
      </c>
      <c r="H16" s="31">
        <v>1295</v>
      </c>
    </row>
    <row r="17" spans="1:8" x14ac:dyDescent="0.3">
      <c r="A17" s="30" t="s">
        <v>174</v>
      </c>
      <c r="B17" s="31">
        <v>462</v>
      </c>
      <c r="C17" s="31">
        <v>376</v>
      </c>
      <c r="D17" s="31">
        <v>166</v>
      </c>
      <c r="E17" s="31">
        <v>396</v>
      </c>
      <c r="F17" s="31">
        <v>283</v>
      </c>
      <c r="G17" s="31">
        <v>488</v>
      </c>
      <c r="H17" s="31">
        <v>2171</v>
      </c>
    </row>
    <row r="18" spans="1:8" x14ac:dyDescent="0.3">
      <c r="A18" s="30" t="s">
        <v>186</v>
      </c>
      <c r="B18" s="31">
        <v>353</v>
      </c>
      <c r="C18" s="31">
        <v>522</v>
      </c>
      <c r="D18" s="31">
        <v>301</v>
      </c>
      <c r="E18" s="31">
        <v>209</v>
      </c>
      <c r="F18" s="31">
        <v>324</v>
      </c>
      <c r="G18" s="31">
        <v>151</v>
      </c>
      <c r="H18" s="31">
        <v>1860</v>
      </c>
    </row>
    <row r="19" spans="1:8" x14ac:dyDescent="0.3">
      <c r="A19" s="30" t="s">
        <v>169</v>
      </c>
      <c r="B19" s="31">
        <v>371</v>
      </c>
      <c r="C19" s="31">
        <v>246</v>
      </c>
      <c r="D19" s="31">
        <v>252</v>
      </c>
      <c r="E19" s="31">
        <v>326</v>
      </c>
      <c r="F19" s="31">
        <v>269</v>
      </c>
      <c r="G19" s="31">
        <v>231</v>
      </c>
      <c r="H19" s="31">
        <v>1695</v>
      </c>
    </row>
    <row r="20" spans="1:8" x14ac:dyDescent="0.3">
      <c r="A20" s="30" t="s">
        <v>147</v>
      </c>
      <c r="B20" s="31">
        <v>404</v>
      </c>
      <c r="C20" s="31">
        <v>275</v>
      </c>
      <c r="D20" s="31">
        <v>77</v>
      </c>
      <c r="E20" s="31">
        <v>62</v>
      </c>
      <c r="F20" s="31">
        <v>153</v>
      </c>
      <c r="G20" s="31">
        <v>72</v>
      </c>
      <c r="H20" s="31">
        <v>1043</v>
      </c>
    </row>
    <row r="21" spans="1:8" x14ac:dyDescent="0.3">
      <c r="A21" s="30" t="s">
        <v>113</v>
      </c>
      <c r="B21" s="31">
        <v>676</v>
      </c>
      <c r="C21" s="31">
        <v>557</v>
      </c>
      <c r="D21" s="31">
        <v>300</v>
      </c>
      <c r="E21" s="31">
        <v>324</v>
      </c>
      <c r="F21" s="31">
        <v>351</v>
      </c>
      <c r="G21" s="31">
        <v>210</v>
      </c>
      <c r="H21" s="31">
        <v>2418</v>
      </c>
    </row>
    <row r="22" spans="1:8" x14ac:dyDescent="0.3">
      <c r="A22" s="30" t="s">
        <v>261</v>
      </c>
      <c r="B22" s="31">
        <v>63</v>
      </c>
      <c r="C22" s="31">
        <v>20</v>
      </c>
      <c r="D22" s="31">
        <v>32</v>
      </c>
      <c r="E22" s="31">
        <v>254</v>
      </c>
      <c r="F22" s="31">
        <v>278</v>
      </c>
      <c r="G22" s="31">
        <v>212</v>
      </c>
      <c r="H22" s="31">
        <v>859</v>
      </c>
    </row>
    <row r="23" spans="1:8" x14ac:dyDescent="0.3">
      <c r="A23" s="30" t="s">
        <v>464</v>
      </c>
      <c r="B23" s="31">
        <v>3561</v>
      </c>
      <c r="C23" s="31">
        <v>3188</v>
      </c>
      <c r="D23" s="31">
        <v>2292</v>
      </c>
      <c r="E23" s="31">
        <v>3982</v>
      </c>
      <c r="F23" s="31">
        <v>4413</v>
      </c>
      <c r="G23" s="31">
        <v>3282</v>
      </c>
      <c r="H23" s="31">
        <v>20718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4293-293F-4888-9065-E9EC71DE6AD1}">
  <dimension ref="A1:CN67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32" sqref="E32"/>
    </sheetView>
  </sheetViews>
  <sheetFormatPr defaultRowHeight="14.4" x14ac:dyDescent="0.3"/>
  <cols>
    <col min="1" max="1" width="13.44140625" customWidth="1"/>
    <col min="2" max="2" width="10.44140625" bestFit="1" customWidth="1"/>
    <col min="5" max="5" width="65.5546875" bestFit="1" customWidth="1"/>
    <col min="7" max="7" width="20.6640625" customWidth="1"/>
    <col min="8" max="8" width="34.6640625" bestFit="1" customWidth="1"/>
  </cols>
  <sheetData>
    <row r="1" spans="1:92" x14ac:dyDescent="0.3">
      <c r="A1" s="1" t="s">
        <v>400</v>
      </c>
    </row>
    <row r="2" spans="1:92" x14ac:dyDescent="0.3">
      <c r="A2" s="1" t="s">
        <v>401</v>
      </c>
    </row>
    <row r="3" spans="1:92" x14ac:dyDescent="0.3">
      <c r="A3" s="1" t="s">
        <v>402</v>
      </c>
      <c r="O3" s="2" t="s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92" x14ac:dyDescent="0.3">
      <c r="O4" s="3" t="s">
        <v>2</v>
      </c>
      <c r="P4" s="3"/>
      <c r="Q4" s="3" t="s">
        <v>3</v>
      </c>
      <c r="R4" s="3"/>
      <c r="S4" s="3" t="s">
        <v>4</v>
      </c>
      <c r="T4" s="3"/>
      <c r="U4" s="3" t="s">
        <v>5</v>
      </c>
      <c r="V4" s="3"/>
      <c r="W4" s="3" t="s">
        <v>6</v>
      </c>
      <c r="X4" s="3"/>
      <c r="Y4" s="3" t="s">
        <v>7</v>
      </c>
      <c r="Z4" s="3"/>
      <c r="AA4" s="3" t="s">
        <v>8</v>
      </c>
      <c r="AB4" s="3"/>
      <c r="AC4" s="3" t="s">
        <v>9</v>
      </c>
      <c r="AD4" s="3"/>
      <c r="AE4" s="3" t="s">
        <v>10</v>
      </c>
      <c r="AF4" s="3"/>
      <c r="AG4" s="3"/>
      <c r="AH4" s="4" t="s">
        <v>11</v>
      </c>
      <c r="AI4" s="4"/>
      <c r="AJ4" s="4" t="s">
        <v>12</v>
      </c>
      <c r="AK4" s="4"/>
      <c r="AL4" s="4" t="s">
        <v>13</v>
      </c>
      <c r="AM4" s="4"/>
      <c r="AN4" s="4" t="s">
        <v>14</v>
      </c>
      <c r="AO4" s="4"/>
      <c r="AP4" s="4" t="s">
        <v>15</v>
      </c>
      <c r="AQ4" s="4"/>
      <c r="AR4" s="5" t="s">
        <v>16</v>
      </c>
      <c r="AS4" s="5"/>
      <c r="AT4" s="5"/>
      <c r="AU4" s="6" t="s">
        <v>17</v>
      </c>
      <c r="AV4" s="6"/>
      <c r="AW4" s="6" t="s">
        <v>18</v>
      </c>
      <c r="AX4" s="6"/>
      <c r="AY4" s="6" t="s">
        <v>19</v>
      </c>
      <c r="AZ4" s="6"/>
      <c r="BA4" s="6" t="s">
        <v>20</v>
      </c>
      <c r="BB4" s="6"/>
      <c r="BC4" s="6" t="s">
        <v>21</v>
      </c>
      <c r="BD4" s="6"/>
      <c r="BE4" s="6" t="s">
        <v>22</v>
      </c>
      <c r="BF4" s="6"/>
      <c r="BG4" s="6" t="s">
        <v>23</v>
      </c>
      <c r="BH4" s="6"/>
      <c r="BI4" s="6" t="s">
        <v>24</v>
      </c>
      <c r="BJ4" s="6"/>
      <c r="BK4" s="23" t="s">
        <v>480</v>
      </c>
      <c r="BL4" s="23"/>
      <c r="BM4" s="26" t="s">
        <v>517</v>
      </c>
      <c r="BN4" s="27"/>
      <c r="BO4" s="26" t="s">
        <v>518</v>
      </c>
      <c r="BP4" s="27"/>
      <c r="BQ4" s="6" t="s">
        <v>25</v>
      </c>
      <c r="BR4" s="6"/>
      <c r="BS4" s="6" t="s">
        <v>26</v>
      </c>
      <c r="BT4" s="6"/>
      <c r="BU4" s="6" t="s">
        <v>27</v>
      </c>
      <c r="BV4" s="6"/>
      <c r="BW4" s="6" t="s">
        <v>28</v>
      </c>
      <c r="BX4" s="6"/>
      <c r="BY4" s="6" t="s">
        <v>29</v>
      </c>
      <c r="BZ4" s="6"/>
      <c r="CA4" s="6" t="s">
        <v>30</v>
      </c>
      <c r="CB4" s="6"/>
      <c r="CC4" s="6" t="s">
        <v>31</v>
      </c>
      <c r="CD4" s="6"/>
      <c r="CE4" s="6" t="s">
        <v>32</v>
      </c>
      <c r="CF4" s="6"/>
      <c r="CG4" s="23" t="s">
        <v>483</v>
      </c>
      <c r="CH4" s="23"/>
      <c r="CI4" s="6" t="s">
        <v>33</v>
      </c>
      <c r="CJ4" s="6"/>
      <c r="CK4" s="6"/>
      <c r="CL4" s="6" t="s">
        <v>464</v>
      </c>
      <c r="CM4" s="6"/>
      <c r="CN4" s="6"/>
    </row>
    <row r="5" spans="1:92" x14ac:dyDescent="0.3">
      <c r="O5" s="7" t="s">
        <v>34</v>
      </c>
      <c r="P5" s="7" t="s">
        <v>35</v>
      </c>
      <c r="Q5" s="7" t="s">
        <v>34</v>
      </c>
      <c r="R5" s="7" t="s">
        <v>35</v>
      </c>
      <c r="S5" s="7" t="s">
        <v>34</v>
      </c>
      <c r="T5" s="7" t="s">
        <v>35</v>
      </c>
      <c r="U5" s="7" t="s">
        <v>34</v>
      </c>
      <c r="V5" s="7" t="s">
        <v>35</v>
      </c>
      <c r="W5" s="7" t="s">
        <v>34</v>
      </c>
      <c r="X5" s="7" t="s">
        <v>35</v>
      </c>
      <c r="Y5" s="7" t="s">
        <v>34</v>
      </c>
      <c r="Z5" s="7" t="s">
        <v>35</v>
      </c>
      <c r="AA5" s="7" t="s">
        <v>34</v>
      </c>
      <c r="AB5" s="7" t="s">
        <v>35</v>
      </c>
      <c r="AC5" s="7" t="s">
        <v>34</v>
      </c>
      <c r="AD5" s="7" t="s">
        <v>35</v>
      </c>
      <c r="AE5" s="7" t="s">
        <v>34</v>
      </c>
      <c r="AF5" s="7" t="s">
        <v>35</v>
      </c>
      <c r="AG5" s="7" t="s">
        <v>36</v>
      </c>
      <c r="AH5" s="8" t="s">
        <v>34</v>
      </c>
      <c r="AI5" s="8" t="s">
        <v>35</v>
      </c>
      <c r="AJ5" s="8" t="s">
        <v>34</v>
      </c>
      <c r="AK5" s="8" t="s">
        <v>35</v>
      </c>
      <c r="AL5" s="8" t="s">
        <v>34</v>
      </c>
      <c r="AM5" s="8" t="s">
        <v>35</v>
      </c>
      <c r="AN5" s="8" t="s">
        <v>34</v>
      </c>
      <c r="AO5" s="8" t="s">
        <v>35</v>
      </c>
      <c r="AP5" s="8" t="s">
        <v>34</v>
      </c>
      <c r="AQ5" s="8" t="s">
        <v>35</v>
      </c>
      <c r="AR5" s="8" t="s">
        <v>34</v>
      </c>
      <c r="AS5" s="8" t="s">
        <v>35</v>
      </c>
      <c r="AT5" s="8" t="s">
        <v>36</v>
      </c>
      <c r="AU5" s="9" t="s">
        <v>34</v>
      </c>
      <c r="AV5" s="9" t="s">
        <v>35</v>
      </c>
      <c r="AW5" s="9" t="s">
        <v>34</v>
      </c>
      <c r="AX5" s="9" t="s">
        <v>35</v>
      </c>
      <c r="AY5" s="9" t="s">
        <v>34</v>
      </c>
      <c r="AZ5" s="9" t="s">
        <v>35</v>
      </c>
      <c r="BA5" s="9" t="s">
        <v>34</v>
      </c>
      <c r="BB5" s="9" t="s">
        <v>35</v>
      </c>
      <c r="BC5" s="9" t="s">
        <v>34</v>
      </c>
      <c r="BD5" s="9" t="s">
        <v>35</v>
      </c>
      <c r="BE5" s="9" t="s">
        <v>34</v>
      </c>
      <c r="BF5" s="9" t="s">
        <v>35</v>
      </c>
      <c r="BG5" s="9" t="s">
        <v>34</v>
      </c>
      <c r="BH5" s="9" t="s">
        <v>35</v>
      </c>
      <c r="BI5" s="9" t="s">
        <v>34</v>
      </c>
      <c r="BJ5" s="9" t="s">
        <v>35</v>
      </c>
      <c r="BK5" s="24" t="s">
        <v>34</v>
      </c>
      <c r="BL5" s="24" t="s">
        <v>35</v>
      </c>
      <c r="BM5" s="28" t="s">
        <v>34</v>
      </c>
      <c r="BN5" s="28" t="s">
        <v>35</v>
      </c>
      <c r="BO5" s="28" t="s">
        <v>34</v>
      </c>
      <c r="BP5" s="28" t="s">
        <v>35</v>
      </c>
      <c r="BQ5" s="9" t="s">
        <v>34</v>
      </c>
      <c r="BR5" s="9" t="s">
        <v>35</v>
      </c>
      <c r="BS5" s="9" t="s">
        <v>34</v>
      </c>
      <c r="BT5" s="9" t="s">
        <v>35</v>
      </c>
      <c r="BU5" s="9" t="s">
        <v>34</v>
      </c>
      <c r="BV5" s="9" t="s">
        <v>35</v>
      </c>
      <c r="BW5" s="9" t="s">
        <v>34</v>
      </c>
      <c r="BX5" s="9" t="s">
        <v>35</v>
      </c>
      <c r="BY5" s="9" t="s">
        <v>34</v>
      </c>
      <c r="BZ5" s="9" t="s">
        <v>35</v>
      </c>
      <c r="CA5" s="9" t="s">
        <v>34</v>
      </c>
      <c r="CB5" s="9" t="s">
        <v>35</v>
      </c>
      <c r="CC5" s="9" t="s">
        <v>34</v>
      </c>
      <c r="CD5" s="9" t="s">
        <v>35</v>
      </c>
      <c r="CE5" s="9" t="s">
        <v>34</v>
      </c>
      <c r="CF5" s="9" t="s">
        <v>35</v>
      </c>
      <c r="CG5" s="24" t="s">
        <v>34</v>
      </c>
      <c r="CH5" s="24" t="s">
        <v>35</v>
      </c>
      <c r="CI5" s="9" t="s">
        <v>34</v>
      </c>
      <c r="CJ5" s="9" t="s">
        <v>35</v>
      </c>
      <c r="CK5" s="9" t="s">
        <v>36</v>
      </c>
      <c r="CL5" s="9" t="s">
        <v>34</v>
      </c>
      <c r="CM5" s="9" t="s">
        <v>35</v>
      </c>
      <c r="CN5" s="9" t="s">
        <v>36</v>
      </c>
    </row>
    <row r="6" spans="1:92" x14ac:dyDescent="0.3">
      <c r="A6" s="1" t="s">
        <v>523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0" t="s">
        <v>49</v>
      </c>
      <c r="O6" s="11" t="s">
        <v>50</v>
      </c>
      <c r="P6" s="11" t="s">
        <v>51</v>
      </c>
      <c r="Q6" s="11" t="s">
        <v>52</v>
      </c>
      <c r="R6" s="11" t="s">
        <v>53</v>
      </c>
      <c r="S6" s="11" t="s">
        <v>54</v>
      </c>
      <c r="T6" s="11" t="s">
        <v>55</v>
      </c>
      <c r="U6" s="11" t="s">
        <v>56</v>
      </c>
      <c r="V6" s="11" t="s">
        <v>57</v>
      </c>
      <c r="W6" s="11" t="s">
        <v>58</v>
      </c>
      <c r="X6" s="11" t="s">
        <v>59</v>
      </c>
      <c r="Y6" s="11" t="s">
        <v>60</v>
      </c>
      <c r="Z6" s="11" t="s">
        <v>61</v>
      </c>
      <c r="AA6" s="11" t="s">
        <v>62</v>
      </c>
      <c r="AB6" s="11" t="s">
        <v>63</v>
      </c>
      <c r="AC6" s="11" t="s">
        <v>64</v>
      </c>
      <c r="AD6" s="11" t="s">
        <v>65</v>
      </c>
      <c r="AE6" s="12" t="s">
        <v>34</v>
      </c>
      <c r="AF6" s="12" t="s">
        <v>35</v>
      </c>
      <c r="AG6" s="12" t="s">
        <v>36</v>
      </c>
      <c r="AH6" s="11" t="s">
        <v>66</v>
      </c>
      <c r="AI6" s="11" t="s">
        <v>67</v>
      </c>
      <c r="AJ6" s="11" t="s">
        <v>68</v>
      </c>
      <c r="AK6" s="11" t="s">
        <v>69</v>
      </c>
      <c r="AL6" s="11" t="s">
        <v>70</v>
      </c>
      <c r="AM6" s="11" t="s">
        <v>71</v>
      </c>
      <c r="AN6" s="11" t="s">
        <v>72</v>
      </c>
      <c r="AO6" s="11" t="s">
        <v>73</v>
      </c>
      <c r="AP6" s="11" t="s">
        <v>74</v>
      </c>
      <c r="AQ6" s="11" t="s">
        <v>75</v>
      </c>
      <c r="AR6" s="13" t="s">
        <v>34</v>
      </c>
      <c r="AS6" s="13" t="s">
        <v>35</v>
      </c>
      <c r="AT6" s="13" t="s">
        <v>36</v>
      </c>
      <c r="AU6" s="11" t="s">
        <v>76</v>
      </c>
      <c r="AV6" s="11" t="s">
        <v>77</v>
      </c>
      <c r="AW6" s="11" t="s">
        <v>78</v>
      </c>
      <c r="AX6" s="11" t="s">
        <v>79</v>
      </c>
      <c r="AY6" s="11" t="s">
        <v>80</v>
      </c>
      <c r="AZ6" s="11" t="s">
        <v>81</v>
      </c>
      <c r="BA6" s="11" t="s">
        <v>82</v>
      </c>
      <c r="BB6" s="11" t="s">
        <v>83</v>
      </c>
      <c r="BC6" s="11" t="s">
        <v>84</v>
      </c>
      <c r="BD6" s="11" t="s">
        <v>85</v>
      </c>
      <c r="BE6" s="11" t="s">
        <v>86</v>
      </c>
      <c r="BF6" s="11" t="s">
        <v>87</v>
      </c>
      <c r="BG6" s="11" t="s">
        <v>88</v>
      </c>
      <c r="BH6" s="11" t="s">
        <v>89</v>
      </c>
      <c r="BI6" s="11" t="s">
        <v>90</v>
      </c>
      <c r="BJ6" s="11" t="s">
        <v>91</v>
      </c>
      <c r="BK6" s="1" t="s">
        <v>481</v>
      </c>
      <c r="BL6" s="1" t="s">
        <v>482</v>
      </c>
      <c r="BM6" s="1" t="s">
        <v>519</v>
      </c>
      <c r="BN6" s="1" t="s">
        <v>520</v>
      </c>
      <c r="BO6" s="1" t="s">
        <v>521</v>
      </c>
      <c r="BP6" s="1" t="s">
        <v>522</v>
      </c>
      <c r="BQ6" s="11" t="s">
        <v>92</v>
      </c>
      <c r="BR6" s="11" t="s">
        <v>93</v>
      </c>
      <c r="BS6" s="11" t="s">
        <v>94</v>
      </c>
      <c r="BT6" s="11" t="s">
        <v>95</v>
      </c>
      <c r="BU6" s="11" t="s">
        <v>96</v>
      </c>
      <c r="BV6" s="11" t="s">
        <v>97</v>
      </c>
      <c r="BW6" s="11" t="s">
        <v>98</v>
      </c>
      <c r="BX6" s="11" t="s">
        <v>99</v>
      </c>
      <c r="BY6" s="11" t="s">
        <v>100</v>
      </c>
      <c r="BZ6" s="11" t="s">
        <v>101</v>
      </c>
      <c r="CA6" s="11" t="s">
        <v>102</v>
      </c>
      <c r="CB6" s="11" t="s">
        <v>103</v>
      </c>
      <c r="CC6" s="11" t="s">
        <v>104</v>
      </c>
      <c r="CD6" s="11" t="s">
        <v>105</v>
      </c>
      <c r="CE6" s="11" t="s">
        <v>106</v>
      </c>
      <c r="CF6" s="11" t="s">
        <v>107</v>
      </c>
      <c r="CG6" s="1" t="s">
        <v>484</v>
      </c>
      <c r="CH6" s="1" t="s">
        <v>485</v>
      </c>
      <c r="CI6" s="14" t="s">
        <v>34</v>
      </c>
      <c r="CJ6" s="14" t="s">
        <v>35</v>
      </c>
      <c r="CK6" s="14" t="s">
        <v>36</v>
      </c>
      <c r="CL6" s="1" t="s">
        <v>34</v>
      </c>
      <c r="CM6" s="1" t="s">
        <v>35</v>
      </c>
      <c r="CN6" s="1" t="s">
        <v>36</v>
      </c>
    </row>
    <row r="7" spans="1:92" x14ac:dyDescent="0.3">
      <c r="A7" t="s">
        <v>0</v>
      </c>
      <c r="B7" t="s">
        <v>108</v>
      </c>
      <c r="C7" t="s">
        <v>109</v>
      </c>
      <c r="D7">
        <v>340690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118</v>
      </c>
      <c r="N7" t="s">
        <v>119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/>
      <c r="BL7" s="15"/>
      <c r="BM7" s="15"/>
      <c r="BN7" s="15"/>
      <c r="BO7" s="15"/>
      <c r="BP7" s="15"/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/>
      <c r="CH7" s="15"/>
      <c r="CI7" s="15">
        <v>0</v>
      </c>
      <c r="CJ7" s="15">
        <v>0</v>
      </c>
      <c r="CK7" s="15">
        <v>0</v>
      </c>
      <c r="CL7" s="21">
        <f>SUM(AE7,AR7,CI7)</f>
        <v>0</v>
      </c>
      <c r="CM7" s="21">
        <f>SUM(AF7,AS7,CJ7)</f>
        <v>0</v>
      </c>
      <c r="CN7" s="21">
        <f>SUM(AG7,AT7,CK7)</f>
        <v>0</v>
      </c>
    </row>
    <row r="8" spans="1:92" x14ac:dyDescent="0.3">
      <c r="A8" t="s">
        <v>0</v>
      </c>
      <c r="B8" t="s">
        <v>108</v>
      </c>
      <c r="C8" t="s">
        <v>109</v>
      </c>
      <c r="D8">
        <v>401453</v>
      </c>
      <c r="E8" t="s">
        <v>120</v>
      </c>
      <c r="F8" t="s">
        <v>121</v>
      </c>
      <c r="G8" t="s">
        <v>112</v>
      </c>
      <c r="H8" t="s">
        <v>122</v>
      </c>
      <c r="I8" t="s">
        <v>123</v>
      </c>
      <c r="J8" t="s">
        <v>124</v>
      </c>
      <c r="K8" t="s">
        <v>116</v>
      </c>
      <c r="L8" t="s">
        <v>125</v>
      </c>
      <c r="M8" t="s">
        <v>118</v>
      </c>
      <c r="N8" t="s">
        <v>126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/>
      <c r="BL8" s="15"/>
      <c r="BM8" s="15"/>
      <c r="BN8" s="15"/>
      <c r="BO8" s="15"/>
      <c r="BP8" s="15"/>
      <c r="BQ8" s="15">
        <v>0</v>
      </c>
      <c r="BR8" s="15">
        <v>0</v>
      </c>
      <c r="BS8" s="15">
        <v>0</v>
      </c>
      <c r="BT8" s="15">
        <v>0</v>
      </c>
      <c r="BU8" s="15">
        <v>29</v>
      </c>
      <c r="BV8" s="15">
        <v>12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/>
      <c r="CH8" s="15"/>
      <c r="CI8" s="15">
        <v>29</v>
      </c>
      <c r="CJ8" s="15">
        <v>12</v>
      </c>
      <c r="CK8" s="15">
        <v>41</v>
      </c>
      <c r="CL8" s="21">
        <f>SUM(AE8,AR8,CI8)</f>
        <v>29</v>
      </c>
      <c r="CM8" s="21">
        <f>SUM(AF8,AS8,CJ8)</f>
        <v>12</v>
      </c>
      <c r="CN8" s="21">
        <f>SUM(AG8,AT8,CK8)</f>
        <v>41</v>
      </c>
    </row>
    <row r="9" spans="1:92" x14ac:dyDescent="0.3">
      <c r="A9" t="s">
        <v>0</v>
      </c>
      <c r="B9" t="s">
        <v>108</v>
      </c>
      <c r="C9" t="s">
        <v>109</v>
      </c>
      <c r="D9">
        <v>401495</v>
      </c>
      <c r="E9" t="s">
        <v>127</v>
      </c>
      <c r="F9" t="s">
        <v>128</v>
      </c>
      <c r="G9" t="s">
        <v>112</v>
      </c>
      <c r="H9" t="s">
        <v>129</v>
      </c>
      <c r="I9" t="s">
        <v>123</v>
      </c>
      <c r="J9" t="s">
        <v>130</v>
      </c>
      <c r="K9" t="s">
        <v>116</v>
      </c>
      <c r="L9" t="s">
        <v>125</v>
      </c>
      <c r="M9" t="s">
        <v>118</v>
      </c>
      <c r="N9" t="s">
        <v>126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/>
      <c r="BL9" s="15"/>
      <c r="BM9" s="15"/>
      <c r="BN9" s="15"/>
      <c r="BO9" s="15"/>
      <c r="BP9" s="15"/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/>
      <c r="CH9" s="15"/>
      <c r="CI9" s="15">
        <v>0</v>
      </c>
      <c r="CJ9" s="15">
        <v>0</v>
      </c>
      <c r="CK9" s="15">
        <v>0</v>
      </c>
      <c r="CL9" s="21">
        <f>SUM(AE9,AR9,CI9)</f>
        <v>0</v>
      </c>
      <c r="CM9" s="21">
        <f>SUM(AF9,AS9,CJ9)</f>
        <v>0</v>
      </c>
      <c r="CN9" s="21">
        <f>SUM(AG9,AT9,CK9)</f>
        <v>0</v>
      </c>
    </row>
    <row r="10" spans="1:92" x14ac:dyDescent="0.3">
      <c r="A10" t="s">
        <v>0</v>
      </c>
      <c r="B10" t="s">
        <v>108</v>
      </c>
      <c r="C10" t="s">
        <v>109</v>
      </c>
      <c r="D10">
        <v>401500</v>
      </c>
      <c r="E10" t="s">
        <v>131</v>
      </c>
      <c r="F10" t="s">
        <v>132</v>
      </c>
      <c r="G10" t="s">
        <v>112</v>
      </c>
      <c r="H10" t="s">
        <v>133</v>
      </c>
      <c r="I10" t="s">
        <v>123</v>
      </c>
      <c r="J10" t="s">
        <v>130</v>
      </c>
      <c r="K10" t="s">
        <v>116</v>
      </c>
      <c r="L10" t="s">
        <v>125</v>
      </c>
      <c r="M10" t="s">
        <v>118</v>
      </c>
      <c r="N10" t="s">
        <v>126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/>
      <c r="BL10" s="15"/>
      <c r="BM10" s="15"/>
      <c r="BN10" s="15"/>
      <c r="BO10" s="15"/>
      <c r="BP10" s="15"/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/>
      <c r="CH10" s="15"/>
      <c r="CI10" s="15">
        <v>0</v>
      </c>
      <c r="CJ10" s="15">
        <v>0</v>
      </c>
      <c r="CK10" s="15">
        <v>0</v>
      </c>
      <c r="CL10" s="21">
        <f>SUM(AE10,AR10,CI10)</f>
        <v>0</v>
      </c>
      <c r="CM10" s="21">
        <f>SUM(AF10,AS10,CJ10)</f>
        <v>0</v>
      </c>
      <c r="CN10" s="21">
        <f>SUM(AG10,AT10,CK10)</f>
        <v>0</v>
      </c>
    </row>
    <row r="11" spans="1:92" x14ac:dyDescent="0.3">
      <c r="A11" t="s">
        <v>0</v>
      </c>
      <c r="B11" t="s">
        <v>108</v>
      </c>
      <c r="C11" t="s">
        <v>109</v>
      </c>
      <c r="D11">
        <v>409925</v>
      </c>
      <c r="E11" t="s">
        <v>134</v>
      </c>
      <c r="F11" t="s">
        <v>135</v>
      </c>
      <c r="G11" t="s">
        <v>112</v>
      </c>
      <c r="H11" t="s">
        <v>136</v>
      </c>
      <c r="I11" t="s">
        <v>123</v>
      </c>
      <c r="J11" t="s">
        <v>124</v>
      </c>
      <c r="K11" t="s">
        <v>116</v>
      </c>
      <c r="L11" t="s">
        <v>125</v>
      </c>
      <c r="M11" t="s">
        <v>118</v>
      </c>
      <c r="N11" t="s">
        <v>126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/>
      <c r="BL11" s="15"/>
      <c r="BM11" s="15"/>
      <c r="BN11" s="15"/>
      <c r="BO11" s="15"/>
      <c r="BP11" s="15"/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/>
      <c r="CH11" s="15"/>
      <c r="CI11" s="15">
        <v>0</v>
      </c>
      <c r="CJ11" s="15">
        <v>0</v>
      </c>
      <c r="CK11" s="15">
        <v>0</v>
      </c>
      <c r="CL11" s="21">
        <f>SUM(AE11,AR11,CI11)</f>
        <v>0</v>
      </c>
      <c r="CM11" s="21">
        <f>SUM(AF11,AS11,CJ11)</f>
        <v>0</v>
      </c>
      <c r="CN11" s="21">
        <f>SUM(AG11,AT11,CK11)</f>
        <v>0</v>
      </c>
    </row>
    <row r="12" spans="1:92" x14ac:dyDescent="0.3">
      <c r="A12" t="s">
        <v>0</v>
      </c>
      <c r="B12" t="s">
        <v>108</v>
      </c>
      <c r="C12" t="s">
        <v>109</v>
      </c>
      <c r="D12">
        <v>409926</v>
      </c>
      <c r="E12" t="s">
        <v>134</v>
      </c>
      <c r="F12" t="s">
        <v>137</v>
      </c>
      <c r="G12" t="s">
        <v>112</v>
      </c>
      <c r="H12" t="s">
        <v>138</v>
      </c>
      <c r="I12" t="s">
        <v>123</v>
      </c>
      <c r="J12" t="s">
        <v>124</v>
      </c>
      <c r="K12" t="s">
        <v>116</v>
      </c>
      <c r="L12" t="s">
        <v>125</v>
      </c>
      <c r="M12" t="s">
        <v>118</v>
      </c>
      <c r="N12" t="s">
        <v>126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/>
      <c r="BL12" s="15"/>
      <c r="BM12" s="15"/>
      <c r="BN12" s="15"/>
      <c r="BO12" s="15"/>
      <c r="BP12" s="15"/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/>
      <c r="CH12" s="15"/>
      <c r="CI12" s="15">
        <v>0</v>
      </c>
      <c r="CJ12" s="15">
        <v>0</v>
      </c>
      <c r="CK12" s="15">
        <v>0</v>
      </c>
      <c r="CL12" s="21">
        <f>SUM(AE12,AR12,CI12)</f>
        <v>0</v>
      </c>
      <c r="CM12" s="21">
        <f>SUM(AF12,AS12,CJ12)</f>
        <v>0</v>
      </c>
      <c r="CN12" s="21">
        <f>SUM(AG12,AT12,CK12)</f>
        <v>0</v>
      </c>
    </row>
    <row r="13" spans="1:92" x14ac:dyDescent="0.3">
      <c r="A13" t="s">
        <v>0</v>
      </c>
      <c r="B13" t="s">
        <v>108</v>
      </c>
      <c r="C13" t="s">
        <v>109</v>
      </c>
      <c r="D13">
        <v>410227</v>
      </c>
      <c r="E13" t="s">
        <v>139</v>
      </c>
      <c r="F13" t="s">
        <v>140</v>
      </c>
      <c r="G13" t="s">
        <v>112</v>
      </c>
      <c r="H13" t="s">
        <v>129</v>
      </c>
      <c r="I13" t="s">
        <v>123</v>
      </c>
      <c r="J13" t="s">
        <v>124</v>
      </c>
      <c r="K13" t="s">
        <v>116</v>
      </c>
      <c r="L13" t="s">
        <v>125</v>
      </c>
      <c r="M13" t="s">
        <v>118</v>
      </c>
      <c r="N13" t="s">
        <v>126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/>
      <c r="BL13" s="15"/>
      <c r="BM13" s="15"/>
      <c r="BN13" s="15"/>
      <c r="BO13" s="15"/>
      <c r="BP13" s="15"/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/>
      <c r="CH13" s="15"/>
      <c r="CI13" s="15">
        <v>0</v>
      </c>
      <c r="CJ13" s="15">
        <v>0</v>
      </c>
      <c r="CK13" s="15">
        <v>0</v>
      </c>
      <c r="CL13" s="21">
        <f>SUM(AE13,AR13,CI13)</f>
        <v>0</v>
      </c>
      <c r="CM13" s="21">
        <f>SUM(AF13,AS13,CJ13)</f>
        <v>0</v>
      </c>
      <c r="CN13" s="21">
        <f>SUM(AG13,AT13,CK13)</f>
        <v>0</v>
      </c>
    </row>
    <row r="14" spans="1:92" x14ac:dyDescent="0.3">
      <c r="A14" t="s">
        <v>0</v>
      </c>
      <c r="B14" t="s">
        <v>108</v>
      </c>
      <c r="C14" t="s">
        <v>141</v>
      </c>
      <c r="D14">
        <v>406537</v>
      </c>
      <c r="E14" t="s">
        <v>142</v>
      </c>
      <c r="F14" t="s">
        <v>143</v>
      </c>
      <c r="G14" t="s">
        <v>112</v>
      </c>
      <c r="H14" t="s">
        <v>122</v>
      </c>
      <c r="I14" t="s">
        <v>123</v>
      </c>
      <c r="J14" t="s">
        <v>130</v>
      </c>
      <c r="K14" t="s">
        <v>116</v>
      </c>
      <c r="L14" t="s">
        <v>125</v>
      </c>
      <c r="M14" t="s">
        <v>118</v>
      </c>
      <c r="N14" t="s">
        <v>126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/>
      <c r="BL14" s="15"/>
      <c r="BM14" s="15"/>
      <c r="BN14" s="15"/>
      <c r="BO14" s="15"/>
      <c r="BP14" s="15"/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/>
      <c r="CH14" s="15"/>
      <c r="CI14" s="15">
        <v>0</v>
      </c>
      <c r="CJ14" s="15">
        <v>0</v>
      </c>
      <c r="CK14" s="15">
        <v>0</v>
      </c>
      <c r="CL14" s="21">
        <f>SUM(AE14,AR14,CI14)</f>
        <v>0</v>
      </c>
      <c r="CM14" s="21">
        <f>SUM(AF14,AS14,CJ14)</f>
        <v>0</v>
      </c>
      <c r="CN14" s="21">
        <f>SUM(AG14,AT14,CK14)</f>
        <v>0</v>
      </c>
    </row>
    <row r="15" spans="1:92" x14ac:dyDescent="0.3">
      <c r="A15" t="s">
        <v>0</v>
      </c>
      <c r="B15" t="s">
        <v>108</v>
      </c>
      <c r="C15" t="s">
        <v>144</v>
      </c>
      <c r="D15">
        <v>305341</v>
      </c>
      <c r="E15" t="s">
        <v>145</v>
      </c>
      <c r="F15" t="s">
        <v>146</v>
      </c>
      <c r="G15" t="s">
        <v>112</v>
      </c>
      <c r="H15" t="s">
        <v>147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75</v>
      </c>
      <c r="AI15" s="15">
        <v>77</v>
      </c>
      <c r="AJ15" s="15">
        <v>55</v>
      </c>
      <c r="AK15" s="15">
        <v>59</v>
      </c>
      <c r="AL15" s="15">
        <v>34</v>
      </c>
      <c r="AM15" s="15">
        <v>31</v>
      </c>
      <c r="AN15" s="15">
        <v>23</v>
      </c>
      <c r="AO15" s="15">
        <v>29</v>
      </c>
      <c r="AP15" s="15">
        <v>0</v>
      </c>
      <c r="AQ15" s="15">
        <v>0</v>
      </c>
      <c r="AR15" s="15">
        <v>187</v>
      </c>
      <c r="AS15" s="15">
        <v>196</v>
      </c>
      <c r="AT15" s="15">
        <v>383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/>
      <c r="BL15" s="15"/>
      <c r="BM15" s="15"/>
      <c r="BN15" s="15"/>
      <c r="BO15" s="15"/>
      <c r="BP15" s="15"/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/>
      <c r="CH15" s="15"/>
      <c r="CI15" s="15">
        <v>0</v>
      </c>
      <c r="CJ15" s="15">
        <v>0</v>
      </c>
      <c r="CK15" s="15">
        <v>0</v>
      </c>
      <c r="CL15" s="21">
        <f>SUM(AE15,AR15,CI15)</f>
        <v>187</v>
      </c>
      <c r="CM15" s="21">
        <f>SUM(AF15,AS15,CJ15)</f>
        <v>196</v>
      </c>
      <c r="CN15" s="21">
        <f>SUM(AG15,AT15,CK15)</f>
        <v>383</v>
      </c>
    </row>
    <row r="16" spans="1:92" x14ac:dyDescent="0.3">
      <c r="A16" t="s">
        <v>0</v>
      </c>
      <c r="B16" t="s">
        <v>108</v>
      </c>
      <c r="C16" t="s">
        <v>144</v>
      </c>
      <c r="D16">
        <v>406446</v>
      </c>
      <c r="E16" t="s">
        <v>148</v>
      </c>
      <c r="F16" t="s">
        <v>149</v>
      </c>
      <c r="G16" t="s">
        <v>112</v>
      </c>
      <c r="H16" t="s">
        <v>147</v>
      </c>
      <c r="I16" t="s">
        <v>123</v>
      </c>
      <c r="J16" t="s">
        <v>124</v>
      </c>
      <c r="K16" t="s">
        <v>116</v>
      </c>
      <c r="L16" t="s">
        <v>150</v>
      </c>
      <c r="M16" t="s">
        <v>118</v>
      </c>
      <c r="N16" t="s">
        <v>151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/>
      <c r="BL16" s="15"/>
      <c r="BM16" s="15"/>
      <c r="BN16" s="15"/>
      <c r="BO16" s="15"/>
      <c r="BP16" s="15"/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/>
      <c r="CH16" s="15"/>
      <c r="CI16" s="15">
        <v>0</v>
      </c>
      <c r="CJ16" s="15">
        <v>0</v>
      </c>
      <c r="CK16" s="15">
        <v>0</v>
      </c>
      <c r="CL16" s="21">
        <f>SUM(AE16,AR16,CI16)</f>
        <v>0</v>
      </c>
      <c r="CM16" s="21">
        <f>SUM(AF16,AS16,CJ16)</f>
        <v>0</v>
      </c>
      <c r="CN16" s="21">
        <f>SUM(AG16,AT16,CK16)</f>
        <v>0</v>
      </c>
    </row>
    <row r="17" spans="1:92" x14ac:dyDescent="0.3">
      <c r="A17" t="s">
        <v>0</v>
      </c>
      <c r="B17" t="s">
        <v>108</v>
      </c>
      <c r="C17" t="s">
        <v>144</v>
      </c>
      <c r="D17">
        <v>406459</v>
      </c>
      <c r="E17" t="s">
        <v>152</v>
      </c>
      <c r="F17" t="s">
        <v>153</v>
      </c>
      <c r="G17" t="s">
        <v>112</v>
      </c>
      <c r="H17" t="s">
        <v>138</v>
      </c>
      <c r="I17" t="s">
        <v>123</v>
      </c>
      <c r="J17" t="s">
        <v>124</v>
      </c>
      <c r="K17" t="s">
        <v>116</v>
      </c>
      <c r="L17" t="s">
        <v>150</v>
      </c>
      <c r="M17" t="s">
        <v>118</v>
      </c>
      <c r="N17" t="s">
        <v>151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/>
      <c r="BL17" s="15"/>
      <c r="BM17" s="15"/>
      <c r="BN17" s="15"/>
      <c r="BO17" s="15"/>
      <c r="BP17" s="15"/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/>
      <c r="CH17" s="15"/>
      <c r="CI17" s="15">
        <v>0</v>
      </c>
      <c r="CJ17" s="15">
        <v>0</v>
      </c>
      <c r="CK17" s="15">
        <v>0</v>
      </c>
      <c r="CL17" s="21">
        <f>SUM(AE17,AR17,CI17)</f>
        <v>0</v>
      </c>
      <c r="CM17" s="21">
        <f>SUM(AF17,AS17,CJ17)</f>
        <v>0</v>
      </c>
      <c r="CN17" s="21">
        <f>SUM(AG17,AT17,CK17)</f>
        <v>0</v>
      </c>
    </row>
    <row r="18" spans="1:92" x14ac:dyDescent="0.3">
      <c r="A18" t="s">
        <v>0</v>
      </c>
      <c r="B18" t="s">
        <v>108</v>
      </c>
      <c r="C18" t="s">
        <v>144</v>
      </c>
      <c r="D18">
        <v>407772</v>
      </c>
      <c r="E18" t="s">
        <v>154</v>
      </c>
      <c r="F18" t="s">
        <v>155</v>
      </c>
      <c r="G18" t="s">
        <v>112</v>
      </c>
      <c r="H18" t="s">
        <v>147</v>
      </c>
      <c r="I18" t="s">
        <v>123</v>
      </c>
      <c r="J18" t="s">
        <v>124</v>
      </c>
      <c r="K18" t="s">
        <v>116</v>
      </c>
      <c r="L18" t="s">
        <v>156</v>
      </c>
      <c r="M18" t="s">
        <v>118</v>
      </c>
      <c r="N18" t="s">
        <v>157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/>
      <c r="BL18" s="15"/>
      <c r="BM18" s="15"/>
      <c r="BN18" s="15"/>
      <c r="BO18" s="15"/>
      <c r="BP18" s="15"/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/>
      <c r="CH18" s="15"/>
      <c r="CI18" s="15">
        <v>0</v>
      </c>
      <c r="CJ18" s="15">
        <v>0</v>
      </c>
      <c r="CK18" s="15">
        <v>0</v>
      </c>
      <c r="CL18" s="21">
        <f>SUM(AE18,AR18,CI18)</f>
        <v>0</v>
      </c>
      <c r="CM18" s="21">
        <f>SUM(AF18,AS18,CJ18)</f>
        <v>0</v>
      </c>
      <c r="CN18" s="21">
        <f>SUM(AG18,AT18,CK18)</f>
        <v>0</v>
      </c>
    </row>
    <row r="19" spans="1:92" x14ac:dyDescent="0.3">
      <c r="A19" t="s">
        <v>0</v>
      </c>
      <c r="B19" t="s">
        <v>108</v>
      </c>
      <c r="C19" t="s">
        <v>144</v>
      </c>
      <c r="D19">
        <v>482601</v>
      </c>
      <c r="E19" t="s">
        <v>158</v>
      </c>
      <c r="F19" t="s">
        <v>159</v>
      </c>
      <c r="G19" t="s">
        <v>112</v>
      </c>
      <c r="H19" t="s">
        <v>147</v>
      </c>
      <c r="I19" t="s">
        <v>123</v>
      </c>
      <c r="J19" t="s">
        <v>124</v>
      </c>
      <c r="K19" t="s">
        <v>116</v>
      </c>
      <c r="L19" t="s">
        <v>156</v>
      </c>
      <c r="M19" t="s">
        <v>118</v>
      </c>
      <c r="N19" t="s">
        <v>157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/>
      <c r="BL19" s="15"/>
      <c r="BM19" s="15"/>
      <c r="BN19" s="15"/>
      <c r="BO19" s="15"/>
      <c r="BP19" s="15"/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/>
      <c r="CH19" s="15"/>
      <c r="CI19" s="15">
        <v>0</v>
      </c>
      <c r="CJ19" s="15">
        <v>0</v>
      </c>
      <c r="CK19" s="15">
        <v>0</v>
      </c>
      <c r="CL19" s="21">
        <f>SUM(AE19,AR19,CI19)</f>
        <v>0</v>
      </c>
      <c r="CM19" s="21">
        <f>SUM(AF19,AS19,CJ19)</f>
        <v>0</v>
      </c>
      <c r="CN19" s="21">
        <f>SUM(AG19,AT19,CK19)</f>
        <v>0</v>
      </c>
    </row>
    <row r="20" spans="1:92" x14ac:dyDescent="0.3">
      <c r="A20" t="s">
        <v>0</v>
      </c>
      <c r="B20" t="s">
        <v>108</v>
      </c>
      <c r="C20" t="s">
        <v>144</v>
      </c>
      <c r="D20">
        <v>482742</v>
      </c>
      <c r="E20" t="s">
        <v>160</v>
      </c>
      <c r="F20" t="s">
        <v>161</v>
      </c>
      <c r="G20" t="s">
        <v>112</v>
      </c>
      <c r="H20" t="s">
        <v>133</v>
      </c>
      <c r="I20" t="s">
        <v>123</v>
      </c>
      <c r="J20" t="s">
        <v>124</v>
      </c>
      <c r="K20" t="s">
        <v>116</v>
      </c>
      <c r="L20" t="s">
        <v>162</v>
      </c>
      <c r="M20" t="s">
        <v>118</v>
      </c>
      <c r="N20" t="s">
        <v>163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/>
      <c r="BL20" s="15"/>
      <c r="BM20" s="15"/>
      <c r="BN20" s="15"/>
      <c r="BO20" s="15"/>
      <c r="BP20" s="15"/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/>
      <c r="CH20" s="15"/>
      <c r="CI20" s="15">
        <v>0</v>
      </c>
      <c r="CJ20" s="15">
        <v>0</v>
      </c>
      <c r="CK20" s="15">
        <v>0</v>
      </c>
      <c r="CL20" s="21">
        <f>SUM(AE20,AR20,CI20)</f>
        <v>0</v>
      </c>
      <c r="CM20" s="21">
        <f>SUM(AF20,AS20,CJ20)</f>
        <v>0</v>
      </c>
      <c r="CN20" s="21">
        <f>SUM(AG20,AT20,CK20)</f>
        <v>0</v>
      </c>
    </row>
    <row r="21" spans="1:92" x14ac:dyDescent="0.3">
      <c r="A21" t="s">
        <v>0</v>
      </c>
      <c r="B21" t="s">
        <v>108</v>
      </c>
      <c r="C21" t="s">
        <v>144</v>
      </c>
      <c r="D21">
        <v>482792</v>
      </c>
      <c r="E21" t="s">
        <v>164</v>
      </c>
      <c r="F21" t="s">
        <v>165</v>
      </c>
      <c r="G21" t="s">
        <v>112</v>
      </c>
      <c r="H21" t="s">
        <v>147</v>
      </c>
      <c r="I21" t="s">
        <v>123</v>
      </c>
      <c r="J21" t="s">
        <v>124</v>
      </c>
      <c r="K21" t="s">
        <v>116</v>
      </c>
      <c r="L21" t="s">
        <v>162</v>
      </c>
      <c r="M21" t="s">
        <v>118</v>
      </c>
      <c r="N21" t="s">
        <v>163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/>
      <c r="BL21" s="15"/>
      <c r="BM21" s="15"/>
      <c r="BN21" s="15"/>
      <c r="BO21" s="15"/>
      <c r="BP21" s="15"/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/>
      <c r="CH21" s="15"/>
      <c r="CI21" s="15">
        <v>0</v>
      </c>
      <c r="CJ21" s="15">
        <v>0</v>
      </c>
      <c r="CK21" s="15">
        <v>0</v>
      </c>
      <c r="CL21" s="21">
        <f>SUM(AE21,AR21,CI21)</f>
        <v>0</v>
      </c>
      <c r="CM21" s="21">
        <f>SUM(AF21,AS21,CJ21)</f>
        <v>0</v>
      </c>
      <c r="CN21" s="21">
        <f>SUM(AG21,AT21,CK21)</f>
        <v>0</v>
      </c>
    </row>
    <row r="22" spans="1:92" x14ac:dyDescent="0.3">
      <c r="A22" t="s">
        <v>0</v>
      </c>
      <c r="B22" t="s">
        <v>108</v>
      </c>
      <c r="C22" t="s">
        <v>166</v>
      </c>
      <c r="D22">
        <v>305340</v>
      </c>
      <c r="E22" t="s">
        <v>167</v>
      </c>
      <c r="F22" t="s">
        <v>168</v>
      </c>
      <c r="G22" t="s">
        <v>112</v>
      </c>
      <c r="H22" t="s">
        <v>169</v>
      </c>
      <c r="I22" t="s">
        <v>114</v>
      </c>
      <c r="J22" t="s">
        <v>115</v>
      </c>
      <c r="K22" t="s">
        <v>116</v>
      </c>
      <c r="L22" t="s">
        <v>117</v>
      </c>
      <c r="M22" t="s">
        <v>118</v>
      </c>
      <c r="N22" t="s">
        <v>119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34</v>
      </c>
      <c r="AI22" s="15">
        <v>29</v>
      </c>
      <c r="AJ22" s="15">
        <v>47</v>
      </c>
      <c r="AK22" s="15">
        <v>46</v>
      </c>
      <c r="AL22" s="15">
        <v>10</v>
      </c>
      <c r="AM22" s="15">
        <v>11</v>
      </c>
      <c r="AN22" s="15">
        <v>33</v>
      </c>
      <c r="AO22" s="15">
        <v>45</v>
      </c>
      <c r="AP22" s="15">
        <v>0</v>
      </c>
      <c r="AQ22" s="15">
        <v>0</v>
      </c>
      <c r="AR22" s="15">
        <v>124</v>
      </c>
      <c r="AS22" s="15">
        <v>131</v>
      </c>
      <c r="AT22" s="15">
        <v>255</v>
      </c>
      <c r="AU22" s="15">
        <v>5</v>
      </c>
      <c r="AV22" s="15">
        <v>15</v>
      </c>
      <c r="AW22" s="15">
        <v>1</v>
      </c>
      <c r="AX22" s="15">
        <v>3</v>
      </c>
      <c r="AY22" s="15">
        <v>0</v>
      </c>
      <c r="AZ22" s="15">
        <v>1</v>
      </c>
      <c r="BA22" s="15">
        <v>0</v>
      </c>
      <c r="BB22" s="15">
        <v>0</v>
      </c>
      <c r="BC22" s="15">
        <v>0</v>
      </c>
      <c r="BD22" s="15">
        <v>0</v>
      </c>
      <c r="BE22" s="15">
        <v>5</v>
      </c>
      <c r="BF22" s="15">
        <v>4</v>
      </c>
      <c r="BG22" s="15">
        <v>0</v>
      </c>
      <c r="BH22" s="15">
        <v>0</v>
      </c>
      <c r="BI22" s="15">
        <v>0</v>
      </c>
      <c r="BJ22" s="15">
        <v>0</v>
      </c>
      <c r="BK22" s="15"/>
      <c r="BL22" s="15"/>
      <c r="BM22" s="15"/>
      <c r="BN22" s="15"/>
      <c r="BO22" s="15"/>
      <c r="BP22" s="15"/>
      <c r="BQ22" s="15">
        <v>1</v>
      </c>
      <c r="BR22" s="15">
        <v>4</v>
      </c>
      <c r="BS22" s="15">
        <v>1</v>
      </c>
      <c r="BT22" s="15">
        <v>6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/>
      <c r="CH22" s="15"/>
      <c r="CI22" s="15">
        <v>13</v>
      </c>
      <c r="CJ22" s="15">
        <v>33</v>
      </c>
      <c r="CK22" s="15">
        <v>46</v>
      </c>
      <c r="CL22" s="21">
        <f>SUM(AE22,AR22,CI22)</f>
        <v>137</v>
      </c>
      <c r="CM22" s="21">
        <f>SUM(AF22,AS22,CJ22)</f>
        <v>164</v>
      </c>
      <c r="CN22" s="21">
        <f>SUM(AG22,AT22,CK22)</f>
        <v>301</v>
      </c>
    </row>
    <row r="23" spans="1:92" x14ac:dyDescent="0.3">
      <c r="A23" t="s">
        <v>0</v>
      </c>
      <c r="B23" t="s">
        <v>108</v>
      </c>
      <c r="C23" t="s">
        <v>166</v>
      </c>
      <c r="D23">
        <v>305342</v>
      </c>
      <c r="E23" t="s">
        <v>170</v>
      </c>
      <c r="F23" t="s">
        <v>171</v>
      </c>
      <c r="G23" t="s">
        <v>112</v>
      </c>
      <c r="H23" t="s">
        <v>113</v>
      </c>
      <c r="I23" t="s">
        <v>114</v>
      </c>
      <c r="J23" t="s">
        <v>115</v>
      </c>
      <c r="K23" t="s">
        <v>116</v>
      </c>
      <c r="L23" t="s">
        <v>117</v>
      </c>
      <c r="M23" t="s">
        <v>118</v>
      </c>
      <c r="N23" t="s">
        <v>119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45</v>
      </c>
      <c r="AI23" s="15">
        <v>53</v>
      </c>
      <c r="AJ23" s="15">
        <v>75</v>
      </c>
      <c r="AK23" s="15">
        <v>78</v>
      </c>
      <c r="AL23" s="15">
        <v>76</v>
      </c>
      <c r="AM23" s="15">
        <v>86</v>
      </c>
      <c r="AN23" s="15">
        <v>63</v>
      </c>
      <c r="AO23" s="15">
        <v>77</v>
      </c>
      <c r="AP23" s="15">
        <v>0</v>
      </c>
      <c r="AQ23" s="15">
        <v>0</v>
      </c>
      <c r="AR23" s="15">
        <v>259</v>
      </c>
      <c r="AS23" s="15">
        <v>294</v>
      </c>
      <c r="AT23" s="15">
        <v>553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/>
      <c r="BL23" s="15"/>
      <c r="BM23" s="15"/>
      <c r="BN23" s="15"/>
      <c r="BO23" s="15"/>
      <c r="BP23" s="15"/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/>
      <c r="CH23" s="15"/>
      <c r="CI23" s="15">
        <v>0</v>
      </c>
      <c r="CJ23" s="15">
        <v>0</v>
      </c>
      <c r="CK23" s="15">
        <v>0</v>
      </c>
      <c r="CL23" s="21">
        <f>SUM(AE23,AR23,CI23)</f>
        <v>259</v>
      </c>
      <c r="CM23" s="21">
        <f>SUM(AF23,AS23,CJ23)</f>
        <v>294</v>
      </c>
      <c r="CN23" s="21">
        <f>SUM(AG23,AT23,CK23)</f>
        <v>553</v>
      </c>
    </row>
    <row r="24" spans="1:92" x14ac:dyDescent="0.3">
      <c r="A24" t="s">
        <v>0</v>
      </c>
      <c r="B24" t="s">
        <v>108</v>
      </c>
      <c r="C24" t="s">
        <v>166</v>
      </c>
      <c r="D24">
        <v>319504</v>
      </c>
      <c r="E24" t="s">
        <v>172</v>
      </c>
      <c r="F24" t="s">
        <v>173</v>
      </c>
      <c r="G24" t="s">
        <v>112</v>
      </c>
      <c r="H24" t="s">
        <v>174</v>
      </c>
      <c r="I24" t="s">
        <v>114</v>
      </c>
      <c r="J24" t="s">
        <v>115</v>
      </c>
      <c r="K24" t="s">
        <v>116</v>
      </c>
      <c r="L24" t="s">
        <v>117</v>
      </c>
      <c r="M24" t="s">
        <v>118</v>
      </c>
      <c r="N24" t="s">
        <v>119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60</v>
      </c>
      <c r="AI24" s="15">
        <v>43</v>
      </c>
      <c r="AJ24" s="15">
        <v>64</v>
      </c>
      <c r="AK24" s="15">
        <v>45</v>
      </c>
      <c r="AL24" s="15">
        <v>66</v>
      </c>
      <c r="AM24" s="15">
        <v>68</v>
      </c>
      <c r="AN24" s="15">
        <v>57</v>
      </c>
      <c r="AO24" s="15">
        <v>55</v>
      </c>
      <c r="AP24" s="15">
        <v>0</v>
      </c>
      <c r="AQ24" s="15">
        <v>0</v>
      </c>
      <c r="AR24" s="15">
        <v>247</v>
      </c>
      <c r="AS24" s="15">
        <v>211</v>
      </c>
      <c r="AT24" s="15">
        <v>458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/>
      <c r="BL24" s="15"/>
      <c r="BM24" s="15"/>
      <c r="BN24" s="15"/>
      <c r="BO24" s="15"/>
      <c r="BP24" s="15"/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/>
      <c r="CH24" s="15"/>
      <c r="CI24" s="15">
        <v>0</v>
      </c>
      <c r="CJ24" s="15">
        <v>0</v>
      </c>
      <c r="CK24" s="15">
        <v>0</v>
      </c>
      <c r="CL24" s="21">
        <f>SUM(AE24,AR24,CI24)</f>
        <v>247</v>
      </c>
      <c r="CM24" s="21">
        <f>SUM(AF24,AS24,CJ24)</f>
        <v>211</v>
      </c>
      <c r="CN24" s="21">
        <f>SUM(AG24,AT24,CK24)</f>
        <v>458</v>
      </c>
    </row>
    <row r="25" spans="1:92" x14ac:dyDescent="0.3">
      <c r="A25" t="s">
        <v>0</v>
      </c>
      <c r="B25" t="s">
        <v>108</v>
      </c>
      <c r="C25" t="s">
        <v>166</v>
      </c>
      <c r="D25">
        <v>406472</v>
      </c>
      <c r="E25" t="s">
        <v>175</v>
      </c>
      <c r="F25" t="s">
        <v>176</v>
      </c>
      <c r="G25" t="s">
        <v>112</v>
      </c>
      <c r="H25" t="s">
        <v>174</v>
      </c>
      <c r="I25" t="s">
        <v>123</v>
      </c>
      <c r="J25" t="s">
        <v>124</v>
      </c>
      <c r="K25" t="s">
        <v>116</v>
      </c>
      <c r="L25" t="s">
        <v>156</v>
      </c>
      <c r="M25" t="s">
        <v>118</v>
      </c>
      <c r="N25" t="s">
        <v>157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/>
      <c r="BL25" s="15"/>
      <c r="BM25" s="15"/>
      <c r="BN25" s="15"/>
      <c r="BO25" s="15"/>
      <c r="BP25" s="15"/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/>
      <c r="CH25" s="15"/>
      <c r="CI25" s="15">
        <v>0</v>
      </c>
      <c r="CJ25" s="15">
        <v>0</v>
      </c>
      <c r="CK25" s="15">
        <v>0</v>
      </c>
      <c r="CL25" s="21">
        <f>SUM(AE25,AR25,CI25)</f>
        <v>0</v>
      </c>
      <c r="CM25" s="21">
        <f>SUM(AF25,AS25,CJ25)</f>
        <v>0</v>
      </c>
      <c r="CN25" s="21">
        <f>SUM(AG25,AT25,CK25)</f>
        <v>0</v>
      </c>
    </row>
    <row r="26" spans="1:92" x14ac:dyDescent="0.3">
      <c r="A26" t="s">
        <v>0</v>
      </c>
      <c r="B26" t="s">
        <v>108</v>
      </c>
      <c r="C26" t="s">
        <v>166</v>
      </c>
      <c r="D26">
        <v>482540</v>
      </c>
      <c r="E26" t="s">
        <v>177</v>
      </c>
      <c r="F26" t="s">
        <v>178</v>
      </c>
      <c r="G26" t="s">
        <v>112</v>
      </c>
      <c r="H26" t="s">
        <v>133</v>
      </c>
      <c r="I26" t="s">
        <v>123</v>
      </c>
      <c r="J26" t="s">
        <v>124</v>
      </c>
      <c r="K26" t="s">
        <v>116</v>
      </c>
      <c r="L26" t="s">
        <v>156</v>
      </c>
      <c r="M26" t="s">
        <v>118</v>
      </c>
      <c r="N26" t="s">
        <v>157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1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1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/>
      <c r="BL26" s="15"/>
      <c r="BM26" s="15"/>
      <c r="BN26" s="15"/>
      <c r="BO26" s="15"/>
      <c r="BP26" s="15"/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/>
      <c r="CH26" s="15"/>
      <c r="CI26" s="15">
        <v>0</v>
      </c>
      <c r="CJ26" s="15">
        <v>0</v>
      </c>
      <c r="CK26" s="15">
        <v>0</v>
      </c>
      <c r="CL26" s="21">
        <f>SUM(AE26,AR26,CI26)</f>
        <v>0</v>
      </c>
      <c r="CM26" s="21">
        <f>SUM(AF26,AS26,CJ26)</f>
        <v>1</v>
      </c>
      <c r="CN26" s="21">
        <f>SUM(AG26,AT26,CK26)</f>
        <v>1</v>
      </c>
    </row>
    <row r="27" spans="1:92" x14ac:dyDescent="0.3">
      <c r="A27" t="s">
        <v>0</v>
      </c>
      <c r="B27" t="s">
        <v>108</v>
      </c>
      <c r="C27" t="s">
        <v>166</v>
      </c>
      <c r="D27">
        <v>482607</v>
      </c>
      <c r="E27" t="s">
        <v>179</v>
      </c>
      <c r="F27" t="s">
        <v>180</v>
      </c>
      <c r="G27" t="s">
        <v>112</v>
      </c>
      <c r="H27" t="s">
        <v>174</v>
      </c>
      <c r="I27" t="s">
        <v>123</v>
      </c>
      <c r="J27" t="s">
        <v>124</v>
      </c>
      <c r="K27" t="s">
        <v>116</v>
      </c>
      <c r="L27" t="s">
        <v>156</v>
      </c>
      <c r="M27" t="s">
        <v>118</v>
      </c>
      <c r="N27" t="s">
        <v>157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/>
      <c r="BL27" s="15"/>
      <c r="BM27" s="15"/>
      <c r="BN27" s="15"/>
      <c r="BO27" s="15"/>
      <c r="BP27" s="15"/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/>
      <c r="CH27" s="15"/>
      <c r="CI27" s="15">
        <v>0</v>
      </c>
      <c r="CJ27" s="15">
        <v>0</v>
      </c>
      <c r="CK27" s="15">
        <v>0</v>
      </c>
      <c r="CL27" s="21">
        <f>SUM(AE27,AR27,CI27)</f>
        <v>0</v>
      </c>
      <c r="CM27" s="21">
        <f>SUM(AF27,AS27,CJ27)</f>
        <v>0</v>
      </c>
      <c r="CN27" s="21">
        <f>SUM(AG27,AT27,CK27)</f>
        <v>0</v>
      </c>
    </row>
    <row r="28" spans="1:92" x14ac:dyDescent="0.3">
      <c r="A28" t="s">
        <v>0</v>
      </c>
      <c r="B28" t="s">
        <v>108</v>
      </c>
      <c r="C28" t="s">
        <v>181</v>
      </c>
      <c r="D28">
        <v>305336</v>
      </c>
      <c r="E28" t="s">
        <v>182</v>
      </c>
      <c r="F28" t="s">
        <v>183</v>
      </c>
      <c r="G28" t="s">
        <v>112</v>
      </c>
      <c r="H28" t="s">
        <v>129</v>
      </c>
      <c r="I28" t="s">
        <v>114</v>
      </c>
      <c r="J28" t="s">
        <v>115</v>
      </c>
      <c r="K28" t="s">
        <v>116</v>
      </c>
      <c r="L28" t="s">
        <v>117</v>
      </c>
      <c r="M28" t="s">
        <v>118</v>
      </c>
      <c r="N28" t="s">
        <v>119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6</v>
      </c>
      <c r="AI28" s="15">
        <v>15</v>
      </c>
      <c r="AJ28" s="15">
        <v>0</v>
      </c>
      <c r="AK28" s="15">
        <v>7</v>
      </c>
      <c r="AL28" s="15">
        <v>25</v>
      </c>
      <c r="AM28" s="15">
        <v>27</v>
      </c>
      <c r="AN28" s="15">
        <v>27</v>
      </c>
      <c r="AO28" s="15">
        <v>30</v>
      </c>
      <c r="AP28" s="15">
        <v>0</v>
      </c>
      <c r="AQ28" s="15">
        <v>0</v>
      </c>
      <c r="AR28" s="15">
        <v>58</v>
      </c>
      <c r="AS28" s="15">
        <v>79</v>
      </c>
      <c r="AT28" s="15">
        <v>137</v>
      </c>
      <c r="AU28" s="15">
        <v>1</v>
      </c>
      <c r="AV28" s="15">
        <v>0</v>
      </c>
      <c r="AW28" s="15">
        <v>0</v>
      </c>
      <c r="AX28" s="15">
        <v>3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/>
      <c r="BL28" s="15"/>
      <c r="BM28" s="15"/>
      <c r="BN28" s="15"/>
      <c r="BO28" s="15"/>
      <c r="BP28" s="15"/>
      <c r="BQ28" s="15">
        <v>1</v>
      </c>
      <c r="BR28" s="15">
        <v>12</v>
      </c>
      <c r="BS28" s="15">
        <v>1</v>
      </c>
      <c r="BT28" s="15">
        <v>5</v>
      </c>
      <c r="BU28" s="15">
        <v>4</v>
      </c>
      <c r="BV28" s="15">
        <v>1</v>
      </c>
      <c r="BW28" s="15">
        <v>0</v>
      </c>
      <c r="BX28" s="15">
        <v>0</v>
      </c>
      <c r="BY28" s="15">
        <v>0</v>
      </c>
      <c r="BZ28" s="15">
        <v>0</v>
      </c>
      <c r="CA28" s="15">
        <v>2</v>
      </c>
      <c r="CB28" s="15">
        <v>9</v>
      </c>
      <c r="CC28" s="15">
        <v>0</v>
      </c>
      <c r="CD28" s="15">
        <v>0</v>
      </c>
      <c r="CE28" s="15">
        <v>0</v>
      </c>
      <c r="CF28" s="15">
        <v>0</v>
      </c>
      <c r="CG28" s="15"/>
      <c r="CH28" s="15"/>
      <c r="CI28" s="15">
        <v>9</v>
      </c>
      <c r="CJ28" s="15">
        <v>30</v>
      </c>
      <c r="CK28" s="15">
        <v>39</v>
      </c>
      <c r="CL28" s="21">
        <f>SUM(AE28,AR28,CI28)</f>
        <v>67</v>
      </c>
      <c r="CM28" s="21">
        <f>SUM(AF28,AS28,CJ28)</f>
        <v>109</v>
      </c>
      <c r="CN28" s="21">
        <f>SUM(AG28,AT28,CK28)</f>
        <v>176</v>
      </c>
    </row>
    <row r="29" spans="1:92" x14ac:dyDescent="0.3">
      <c r="A29" t="s">
        <v>0</v>
      </c>
      <c r="B29" t="s">
        <v>108</v>
      </c>
      <c r="C29" t="s">
        <v>181</v>
      </c>
      <c r="D29">
        <v>305338</v>
      </c>
      <c r="E29" t="s">
        <v>184</v>
      </c>
      <c r="F29" t="s">
        <v>185</v>
      </c>
      <c r="G29" t="s">
        <v>112</v>
      </c>
      <c r="H29" t="s">
        <v>186</v>
      </c>
      <c r="I29" t="s">
        <v>114</v>
      </c>
      <c r="J29" t="s">
        <v>115</v>
      </c>
      <c r="K29" t="s">
        <v>116</v>
      </c>
      <c r="L29" t="s">
        <v>187</v>
      </c>
      <c r="M29" t="s">
        <v>118</v>
      </c>
      <c r="N29" t="s">
        <v>188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29</v>
      </c>
      <c r="AI29" s="15">
        <v>29</v>
      </c>
      <c r="AJ29" s="15">
        <v>0</v>
      </c>
      <c r="AK29" s="15">
        <v>0</v>
      </c>
      <c r="AL29" s="15">
        <v>2</v>
      </c>
      <c r="AM29" s="15">
        <v>4</v>
      </c>
      <c r="AN29" s="15">
        <v>36</v>
      </c>
      <c r="AO29" s="15">
        <v>33</v>
      </c>
      <c r="AP29" s="15">
        <v>0</v>
      </c>
      <c r="AQ29" s="15">
        <v>0</v>
      </c>
      <c r="AR29" s="15">
        <v>67</v>
      </c>
      <c r="AS29" s="15">
        <v>66</v>
      </c>
      <c r="AT29" s="15">
        <v>133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/>
      <c r="BL29" s="15"/>
      <c r="BM29" s="15"/>
      <c r="BN29" s="15"/>
      <c r="BO29" s="15"/>
      <c r="BP29" s="15"/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/>
      <c r="CH29" s="15"/>
      <c r="CI29" s="15">
        <v>0</v>
      </c>
      <c r="CJ29" s="15">
        <v>0</v>
      </c>
      <c r="CK29" s="15">
        <v>0</v>
      </c>
      <c r="CL29" s="21">
        <f>SUM(AE29,AR29,CI29)</f>
        <v>67</v>
      </c>
      <c r="CM29" s="21">
        <f>SUM(AF29,AS29,CJ29)</f>
        <v>66</v>
      </c>
      <c r="CN29" s="21">
        <f>SUM(AG29,AT29,CK29)</f>
        <v>133</v>
      </c>
    </row>
    <row r="30" spans="1:92" x14ac:dyDescent="0.3">
      <c r="A30" t="s">
        <v>0</v>
      </c>
      <c r="B30" t="s">
        <v>108</v>
      </c>
      <c r="C30" t="s">
        <v>181</v>
      </c>
      <c r="D30">
        <v>305339</v>
      </c>
      <c r="E30" t="s">
        <v>189</v>
      </c>
      <c r="F30" t="s">
        <v>190</v>
      </c>
      <c r="G30" t="s">
        <v>112</v>
      </c>
      <c r="H30" t="s">
        <v>191</v>
      </c>
      <c r="I30" t="s">
        <v>114</v>
      </c>
      <c r="J30" t="s">
        <v>115</v>
      </c>
      <c r="K30" t="s">
        <v>116</v>
      </c>
      <c r="L30" t="s">
        <v>117</v>
      </c>
      <c r="M30" t="s">
        <v>118</v>
      </c>
      <c r="N30" t="s">
        <v>119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24</v>
      </c>
      <c r="AI30" s="15">
        <v>13</v>
      </c>
      <c r="AJ30" s="15">
        <v>20</v>
      </c>
      <c r="AK30" s="15">
        <v>15</v>
      </c>
      <c r="AL30" s="15">
        <v>18</v>
      </c>
      <c r="AM30" s="15">
        <v>28</v>
      </c>
      <c r="AN30" s="15">
        <v>7</v>
      </c>
      <c r="AO30" s="15">
        <v>16</v>
      </c>
      <c r="AP30" s="15">
        <v>0</v>
      </c>
      <c r="AQ30" s="15">
        <v>0</v>
      </c>
      <c r="AR30" s="15">
        <v>69</v>
      </c>
      <c r="AS30" s="15">
        <v>72</v>
      </c>
      <c r="AT30" s="15">
        <v>141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/>
      <c r="BL30" s="15"/>
      <c r="BM30" s="15"/>
      <c r="BN30" s="15"/>
      <c r="BO30" s="15"/>
      <c r="BP30" s="15"/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/>
      <c r="CH30" s="15"/>
      <c r="CI30" s="15">
        <v>0</v>
      </c>
      <c r="CJ30" s="15">
        <v>0</v>
      </c>
      <c r="CK30" s="15">
        <v>0</v>
      </c>
      <c r="CL30" s="21">
        <f>SUM(AE30,AR30,CI30)</f>
        <v>69</v>
      </c>
      <c r="CM30" s="21">
        <f>SUM(AF30,AS30,CJ30)</f>
        <v>72</v>
      </c>
      <c r="CN30" s="21">
        <f>SUM(AG30,AT30,CK30)</f>
        <v>141</v>
      </c>
    </row>
    <row r="31" spans="1:92" x14ac:dyDescent="0.3">
      <c r="A31" t="s">
        <v>0</v>
      </c>
      <c r="B31" t="s">
        <v>108</v>
      </c>
      <c r="C31" t="s">
        <v>181</v>
      </c>
      <c r="D31">
        <v>401447</v>
      </c>
      <c r="E31" t="s">
        <v>192</v>
      </c>
      <c r="F31" t="s">
        <v>193</v>
      </c>
      <c r="G31" t="s">
        <v>112</v>
      </c>
      <c r="H31" t="s">
        <v>191</v>
      </c>
      <c r="I31" t="s">
        <v>123</v>
      </c>
      <c r="J31" t="s">
        <v>124</v>
      </c>
      <c r="K31" t="s">
        <v>116</v>
      </c>
      <c r="L31" t="s">
        <v>125</v>
      </c>
      <c r="M31" t="s">
        <v>118</v>
      </c>
      <c r="N31" t="s">
        <v>126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/>
      <c r="BL31" s="15"/>
      <c r="BM31" s="15"/>
      <c r="BN31" s="15"/>
      <c r="BO31" s="15"/>
      <c r="BP31" s="15"/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/>
      <c r="CH31" s="15"/>
      <c r="CI31" s="15">
        <v>0</v>
      </c>
      <c r="CJ31" s="15">
        <v>0</v>
      </c>
      <c r="CK31" s="15">
        <v>0</v>
      </c>
      <c r="CL31" s="21">
        <f>SUM(AE31,AR31,CI31)</f>
        <v>0</v>
      </c>
      <c r="CM31" s="21">
        <f>SUM(AF31,AS31,CJ31)</f>
        <v>0</v>
      </c>
      <c r="CN31" s="21">
        <f>SUM(AG31,AT31,CK31)</f>
        <v>0</v>
      </c>
    </row>
    <row r="32" spans="1:92" x14ac:dyDescent="0.3">
      <c r="A32" t="s">
        <v>0</v>
      </c>
      <c r="B32" t="s">
        <v>108</v>
      </c>
      <c r="C32" t="s">
        <v>181</v>
      </c>
      <c r="D32">
        <v>406474</v>
      </c>
      <c r="E32" t="s">
        <v>194</v>
      </c>
      <c r="F32" t="s">
        <v>195</v>
      </c>
      <c r="G32" t="s">
        <v>112</v>
      </c>
      <c r="H32" t="s">
        <v>186</v>
      </c>
      <c r="I32" t="s">
        <v>123</v>
      </c>
      <c r="J32" t="s">
        <v>124</v>
      </c>
      <c r="K32" t="s">
        <v>116</v>
      </c>
      <c r="L32" t="s">
        <v>150</v>
      </c>
      <c r="M32" t="s">
        <v>118</v>
      </c>
      <c r="N32" t="s">
        <v>151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/>
      <c r="BL32" s="15"/>
      <c r="BM32" s="15"/>
      <c r="BN32" s="15"/>
      <c r="BO32" s="15"/>
      <c r="BP32" s="15"/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/>
      <c r="CH32" s="15"/>
      <c r="CI32" s="15">
        <v>0</v>
      </c>
      <c r="CJ32" s="15">
        <v>0</v>
      </c>
      <c r="CK32" s="15">
        <v>0</v>
      </c>
      <c r="CL32" s="21">
        <f>SUM(AE32,AR32,CI32)</f>
        <v>0</v>
      </c>
      <c r="CM32" s="21">
        <f>SUM(AF32,AS32,CJ32)</f>
        <v>0</v>
      </c>
      <c r="CN32" s="21">
        <f>SUM(AG32,AT32,CK32)</f>
        <v>0</v>
      </c>
    </row>
    <row r="33" spans="1:92" x14ac:dyDescent="0.3">
      <c r="A33" t="s">
        <v>0</v>
      </c>
      <c r="B33" t="s">
        <v>108</v>
      </c>
      <c r="C33" t="s">
        <v>181</v>
      </c>
      <c r="D33">
        <v>406484</v>
      </c>
      <c r="E33" t="s">
        <v>196</v>
      </c>
      <c r="F33" t="s">
        <v>197</v>
      </c>
      <c r="G33" t="s">
        <v>112</v>
      </c>
      <c r="H33" t="s">
        <v>129</v>
      </c>
      <c r="I33" t="s">
        <v>123</v>
      </c>
      <c r="J33" t="s">
        <v>124</v>
      </c>
      <c r="K33" t="s">
        <v>116</v>
      </c>
      <c r="L33" t="s">
        <v>150</v>
      </c>
      <c r="M33" t="s">
        <v>118</v>
      </c>
      <c r="N33" t="s">
        <v>151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/>
      <c r="BL33" s="15"/>
      <c r="BM33" s="15"/>
      <c r="BN33" s="15"/>
      <c r="BO33" s="15"/>
      <c r="BP33" s="15"/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/>
      <c r="CH33" s="15"/>
      <c r="CI33" s="15">
        <v>0</v>
      </c>
      <c r="CJ33" s="15">
        <v>0</v>
      </c>
      <c r="CK33" s="15">
        <v>0</v>
      </c>
      <c r="CL33" s="21">
        <f>SUM(AE33,AR33,CI33)</f>
        <v>0</v>
      </c>
      <c r="CM33" s="21">
        <f>SUM(AF33,AS33,CJ33)</f>
        <v>0</v>
      </c>
      <c r="CN33" s="21">
        <f>SUM(AG33,AT33,CK33)</f>
        <v>0</v>
      </c>
    </row>
    <row r="34" spans="1:92" x14ac:dyDescent="0.3">
      <c r="A34" t="s">
        <v>0</v>
      </c>
      <c r="B34" t="s">
        <v>108</v>
      </c>
      <c r="C34" t="s">
        <v>181</v>
      </c>
      <c r="D34">
        <v>406487</v>
      </c>
      <c r="E34" t="s">
        <v>198</v>
      </c>
      <c r="F34" t="s">
        <v>199</v>
      </c>
      <c r="G34" t="s">
        <v>112</v>
      </c>
      <c r="H34" t="s">
        <v>129</v>
      </c>
      <c r="I34" t="s">
        <v>123</v>
      </c>
      <c r="J34" t="s">
        <v>124</v>
      </c>
      <c r="K34" t="s">
        <v>116</v>
      </c>
      <c r="L34" t="s">
        <v>150</v>
      </c>
      <c r="M34" t="s">
        <v>118</v>
      </c>
      <c r="N34" t="s">
        <v>151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/>
      <c r="BL34" s="15"/>
      <c r="BM34" s="15"/>
      <c r="BN34" s="15"/>
      <c r="BO34" s="15"/>
      <c r="BP34" s="15"/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/>
      <c r="CH34" s="15"/>
      <c r="CI34" s="15">
        <v>0</v>
      </c>
      <c r="CJ34" s="15">
        <v>0</v>
      </c>
      <c r="CK34" s="15">
        <v>0</v>
      </c>
      <c r="CL34" s="21">
        <f>SUM(AE34,AR34,CI34)</f>
        <v>0</v>
      </c>
      <c r="CM34" s="21">
        <f>SUM(AF34,AS34,CJ34)</f>
        <v>0</v>
      </c>
      <c r="CN34" s="21">
        <f>SUM(AG34,AT34,CK34)</f>
        <v>0</v>
      </c>
    </row>
    <row r="35" spans="1:92" x14ac:dyDescent="0.3">
      <c r="A35" t="s">
        <v>0</v>
      </c>
      <c r="B35" t="s">
        <v>108</v>
      </c>
      <c r="C35" t="s">
        <v>181</v>
      </c>
      <c r="D35">
        <v>406490</v>
      </c>
      <c r="E35" t="s">
        <v>200</v>
      </c>
      <c r="F35" t="s">
        <v>201</v>
      </c>
      <c r="G35" t="s">
        <v>112</v>
      </c>
      <c r="H35" t="s">
        <v>169</v>
      </c>
      <c r="I35" t="s">
        <v>123</v>
      </c>
      <c r="J35" t="s">
        <v>124</v>
      </c>
      <c r="K35" t="s">
        <v>116</v>
      </c>
      <c r="L35" t="s">
        <v>162</v>
      </c>
      <c r="M35" t="s">
        <v>118</v>
      </c>
      <c r="N35" t="s">
        <v>163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/>
      <c r="BL35" s="15"/>
      <c r="BM35" s="15"/>
      <c r="BN35" s="15"/>
      <c r="BO35" s="15"/>
      <c r="BP35" s="15"/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/>
      <c r="CH35" s="15"/>
      <c r="CI35" s="15">
        <v>0</v>
      </c>
      <c r="CJ35" s="15">
        <v>0</v>
      </c>
      <c r="CK35" s="15">
        <v>0</v>
      </c>
      <c r="CL35" s="21">
        <f>SUM(AE35,AR35,CI35)</f>
        <v>0</v>
      </c>
      <c r="CM35" s="21">
        <f>SUM(AF35,AS35,CJ35)</f>
        <v>0</v>
      </c>
      <c r="CN35" s="21">
        <f>SUM(AG35,AT35,CK35)</f>
        <v>0</v>
      </c>
    </row>
    <row r="36" spans="1:92" x14ac:dyDescent="0.3">
      <c r="A36" t="s">
        <v>0</v>
      </c>
      <c r="B36" t="s">
        <v>108</v>
      </c>
      <c r="C36" t="s">
        <v>181</v>
      </c>
      <c r="D36">
        <v>406493</v>
      </c>
      <c r="E36" t="s">
        <v>202</v>
      </c>
      <c r="F36" t="s">
        <v>203</v>
      </c>
      <c r="G36" t="s">
        <v>112</v>
      </c>
      <c r="H36" t="s">
        <v>186</v>
      </c>
      <c r="I36" t="s">
        <v>123</v>
      </c>
      <c r="J36" t="s">
        <v>124</v>
      </c>
      <c r="K36" t="s">
        <v>116</v>
      </c>
      <c r="L36" t="s">
        <v>150</v>
      </c>
      <c r="M36" t="s">
        <v>118</v>
      </c>
      <c r="N36" t="s">
        <v>151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/>
      <c r="BL36" s="15"/>
      <c r="BM36" s="15"/>
      <c r="BN36" s="15"/>
      <c r="BO36" s="15"/>
      <c r="BP36" s="15"/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/>
      <c r="CH36" s="15"/>
      <c r="CI36" s="15">
        <v>0</v>
      </c>
      <c r="CJ36" s="15">
        <v>0</v>
      </c>
      <c r="CK36" s="15">
        <v>0</v>
      </c>
      <c r="CL36" s="21">
        <f>SUM(AE36,AR36,CI36)</f>
        <v>0</v>
      </c>
      <c r="CM36" s="21">
        <f>SUM(AF36,AS36,CJ36)</f>
        <v>0</v>
      </c>
      <c r="CN36" s="21">
        <f>SUM(AG36,AT36,CK36)</f>
        <v>0</v>
      </c>
    </row>
    <row r="37" spans="1:92" x14ac:dyDescent="0.3">
      <c r="A37" t="s">
        <v>0</v>
      </c>
      <c r="B37" t="s">
        <v>108</v>
      </c>
      <c r="C37" t="s">
        <v>181</v>
      </c>
      <c r="D37">
        <v>406510</v>
      </c>
      <c r="E37" t="s">
        <v>204</v>
      </c>
      <c r="F37" t="s">
        <v>205</v>
      </c>
      <c r="G37" t="s">
        <v>112</v>
      </c>
      <c r="H37" t="s">
        <v>136</v>
      </c>
      <c r="I37" t="s">
        <v>123</v>
      </c>
      <c r="J37" t="s">
        <v>124</v>
      </c>
      <c r="K37" t="s">
        <v>116</v>
      </c>
      <c r="L37" t="s">
        <v>156</v>
      </c>
      <c r="M37" t="s">
        <v>118</v>
      </c>
      <c r="N37" t="s">
        <v>157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/>
      <c r="BL37" s="15"/>
      <c r="BM37" s="15"/>
      <c r="BN37" s="15"/>
      <c r="BO37" s="15"/>
      <c r="BP37" s="15"/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/>
      <c r="CH37" s="15"/>
      <c r="CI37" s="15">
        <v>0</v>
      </c>
      <c r="CJ37" s="15">
        <v>0</v>
      </c>
      <c r="CK37" s="15">
        <v>0</v>
      </c>
      <c r="CL37" s="21">
        <f>SUM(AE37,AR37,CI37)</f>
        <v>0</v>
      </c>
      <c r="CM37" s="21">
        <f>SUM(AF37,AS37,CJ37)</f>
        <v>0</v>
      </c>
      <c r="CN37" s="21">
        <f>SUM(AG37,AT37,CK37)</f>
        <v>0</v>
      </c>
    </row>
    <row r="38" spans="1:92" x14ac:dyDescent="0.3">
      <c r="A38" t="s">
        <v>0</v>
      </c>
      <c r="B38" t="s">
        <v>108</v>
      </c>
      <c r="C38" t="s">
        <v>181</v>
      </c>
      <c r="D38">
        <v>407808</v>
      </c>
      <c r="E38" t="s">
        <v>206</v>
      </c>
      <c r="F38" t="s">
        <v>207</v>
      </c>
      <c r="G38" t="s">
        <v>112</v>
      </c>
      <c r="H38" t="s">
        <v>186</v>
      </c>
      <c r="I38" t="s">
        <v>123</v>
      </c>
      <c r="J38" t="s">
        <v>124</v>
      </c>
      <c r="K38" t="s">
        <v>116</v>
      </c>
      <c r="L38" t="s">
        <v>125</v>
      </c>
      <c r="M38" t="s">
        <v>118</v>
      </c>
      <c r="N38" t="s">
        <v>126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1</v>
      </c>
      <c r="AV38" s="15">
        <v>5</v>
      </c>
      <c r="AW38" s="15">
        <v>0</v>
      </c>
      <c r="AX38" s="15">
        <v>4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6</v>
      </c>
      <c r="BF38" s="15">
        <v>10</v>
      </c>
      <c r="BG38" s="15">
        <v>0</v>
      </c>
      <c r="BH38" s="15">
        <v>0</v>
      </c>
      <c r="BI38" s="15">
        <v>0</v>
      </c>
      <c r="BJ38" s="15">
        <v>0</v>
      </c>
      <c r="BK38" s="15"/>
      <c r="BL38" s="15"/>
      <c r="BM38" s="15"/>
      <c r="BN38" s="15"/>
      <c r="BO38" s="15"/>
      <c r="BP38" s="15"/>
      <c r="BQ38" s="15">
        <v>0</v>
      </c>
      <c r="BR38" s="15">
        <v>4</v>
      </c>
      <c r="BS38" s="15">
        <v>2</v>
      </c>
      <c r="BT38" s="15">
        <v>10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5</v>
      </c>
      <c r="CB38" s="15">
        <v>19</v>
      </c>
      <c r="CC38" s="15">
        <v>0</v>
      </c>
      <c r="CD38" s="15">
        <v>0</v>
      </c>
      <c r="CE38" s="15">
        <v>0</v>
      </c>
      <c r="CF38" s="15">
        <v>0</v>
      </c>
      <c r="CG38" s="15"/>
      <c r="CH38" s="15"/>
      <c r="CI38" s="15">
        <v>14</v>
      </c>
      <c r="CJ38" s="15">
        <v>52</v>
      </c>
      <c r="CK38" s="15">
        <v>66</v>
      </c>
      <c r="CL38" s="21">
        <f>SUM(AE38,AR38,CI38)</f>
        <v>14</v>
      </c>
      <c r="CM38" s="21">
        <f>SUM(AF38,AS38,CJ38)</f>
        <v>52</v>
      </c>
      <c r="CN38" s="21">
        <f>SUM(AG38,AT38,CK38)</f>
        <v>66</v>
      </c>
    </row>
    <row r="39" spans="1:92" x14ac:dyDescent="0.3">
      <c r="A39" t="s">
        <v>0</v>
      </c>
      <c r="B39" t="s">
        <v>108</v>
      </c>
      <c r="C39" t="s">
        <v>181</v>
      </c>
      <c r="D39">
        <v>410119</v>
      </c>
      <c r="E39" t="s">
        <v>208</v>
      </c>
      <c r="F39" t="s">
        <v>209</v>
      </c>
      <c r="G39" t="s">
        <v>112</v>
      </c>
      <c r="H39" t="s">
        <v>136</v>
      </c>
      <c r="I39" t="s">
        <v>123</v>
      </c>
      <c r="J39" t="s">
        <v>124</v>
      </c>
      <c r="K39" t="s">
        <v>116</v>
      </c>
      <c r="L39" t="s">
        <v>162</v>
      </c>
      <c r="M39" t="s">
        <v>118</v>
      </c>
      <c r="N39" t="s">
        <v>163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/>
      <c r="BL39" s="15"/>
      <c r="BM39" s="15"/>
      <c r="BN39" s="15"/>
      <c r="BO39" s="15"/>
      <c r="BP39" s="15"/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/>
      <c r="CH39" s="15"/>
      <c r="CI39" s="15">
        <v>0</v>
      </c>
      <c r="CJ39" s="15">
        <v>0</v>
      </c>
      <c r="CK39" s="15">
        <v>0</v>
      </c>
      <c r="CL39" s="21">
        <f>SUM(AE39,AR39,CI39)</f>
        <v>0</v>
      </c>
      <c r="CM39" s="21">
        <f>SUM(AF39,AS39,CJ39)</f>
        <v>0</v>
      </c>
      <c r="CN39" s="21">
        <f>SUM(AG39,AT39,CK39)</f>
        <v>0</v>
      </c>
    </row>
    <row r="40" spans="1:92" x14ac:dyDescent="0.3">
      <c r="A40" t="s">
        <v>0</v>
      </c>
      <c r="B40" t="s">
        <v>108</v>
      </c>
      <c r="C40" t="s">
        <v>181</v>
      </c>
      <c r="D40">
        <v>482504</v>
      </c>
      <c r="E40" t="s">
        <v>210</v>
      </c>
      <c r="F40" t="s">
        <v>211</v>
      </c>
      <c r="G40" t="s">
        <v>112</v>
      </c>
      <c r="H40" t="s">
        <v>122</v>
      </c>
      <c r="I40" t="s">
        <v>123</v>
      </c>
      <c r="J40" t="s">
        <v>124</v>
      </c>
      <c r="K40" t="s">
        <v>116</v>
      </c>
      <c r="L40" t="s">
        <v>150</v>
      </c>
      <c r="M40" t="s">
        <v>118</v>
      </c>
      <c r="N40" t="s">
        <v>151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/>
      <c r="BL40" s="15"/>
      <c r="BM40" s="15"/>
      <c r="BN40" s="15"/>
      <c r="BO40" s="15"/>
      <c r="BP40" s="15"/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/>
      <c r="CH40" s="15"/>
      <c r="CI40" s="15">
        <v>0</v>
      </c>
      <c r="CJ40" s="15">
        <v>0</v>
      </c>
      <c r="CK40" s="15">
        <v>0</v>
      </c>
      <c r="CL40" s="21">
        <f>SUM(AE40,AR40,CI40)</f>
        <v>0</v>
      </c>
      <c r="CM40" s="21">
        <f>SUM(AF40,AS40,CJ40)</f>
        <v>0</v>
      </c>
      <c r="CN40" s="21">
        <f>SUM(AG40,AT40,CK40)</f>
        <v>0</v>
      </c>
    </row>
    <row r="41" spans="1:92" x14ac:dyDescent="0.3">
      <c r="A41" t="s">
        <v>0</v>
      </c>
      <c r="B41" t="s">
        <v>108</v>
      </c>
      <c r="C41" t="s">
        <v>181</v>
      </c>
      <c r="D41">
        <v>482521</v>
      </c>
      <c r="E41" t="s">
        <v>212</v>
      </c>
      <c r="F41" t="s">
        <v>213</v>
      </c>
      <c r="G41" t="s">
        <v>112</v>
      </c>
      <c r="H41" t="s">
        <v>191</v>
      </c>
      <c r="I41" t="s">
        <v>123</v>
      </c>
      <c r="J41" t="s">
        <v>124</v>
      </c>
      <c r="K41" t="s">
        <v>116</v>
      </c>
      <c r="L41" t="s">
        <v>214</v>
      </c>
      <c r="M41" t="s">
        <v>118</v>
      </c>
      <c r="N41" t="s">
        <v>163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/>
      <c r="BL41" s="15"/>
      <c r="BM41" s="15"/>
      <c r="BN41" s="15"/>
      <c r="BO41" s="15"/>
      <c r="BP41" s="15"/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/>
      <c r="CH41" s="15"/>
      <c r="CI41" s="15">
        <v>0</v>
      </c>
      <c r="CJ41" s="15">
        <v>0</v>
      </c>
      <c r="CK41" s="15">
        <v>0</v>
      </c>
      <c r="CL41" s="21">
        <f>SUM(AE41,AR41,CI41)</f>
        <v>0</v>
      </c>
      <c r="CM41" s="21">
        <f>SUM(AF41,AS41,CJ41)</f>
        <v>0</v>
      </c>
      <c r="CN41" s="21">
        <f>SUM(AG41,AT41,CK41)</f>
        <v>0</v>
      </c>
    </row>
    <row r="42" spans="1:92" x14ac:dyDescent="0.3">
      <c r="A42" t="s">
        <v>0</v>
      </c>
      <c r="B42" t="s">
        <v>108</v>
      </c>
      <c r="C42" t="s">
        <v>181</v>
      </c>
      <c r="D42">
        <v>482541</v>
      </c>
      <c r="E42" t="s">
        <v>215</v>
      </c>
      <c r="F42" t="s">
        <v>216</v>
      </c>
      <c r="G42" t="s">
        <v>112</v>
      </c>
      <c r="H42" t="s">
        <v>217</v>
      </c>
      <c r="I42" t="s">
        <v>123</v>
      </c>
      <c r="J42" t="s">
        <v>124</v>
      </c>
      <c r="K42" t="s">
        <v>116</v>
      </c>
      <c r="L42" t="s">
        <v>162</v>
      </c>
      <c r="M42" t="s">
        <v>118</v>
      </c>
      <c r="N42" t="s">
        <v>163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/>
      <c r="BL42" s="15"/>
      <c r="BM42" s="15"/>
      <c r="BN42" s="15"/>
      <c r="BO42" s="15"/>
      <c r="BP42" s="15"/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/>
      <c r="CH42" s="15"/>
      <c r="CI42" s="15">
        <v>0</v>
      </c>
      <c r="CJ42" s="15">
        <v>0</v>
      </c>
      <c r="CK42" s="15">
        <v>0</v>
      </c>
      <c r="CL42" s="21">
        <f>SUM(AE42,AR42,CI42)</f>
        <v>0</v>
      </c>
      <c r="CM42" s="21">
        <f>SUM(AF42,AS42,CJ42)</f>
        <v>0</v>
      </c>
      <c r="CN42" s="21">
        <f>SUM(AG42,AT42,CK42)</f>
        <v>0</v>
      </c>
    </row>
    <row r="43" spans="1:92" x14ac:dyDescent="0.3">
      <c r="A43" t="s">
        <v>0</v>
      </c>
      <c r="B43" t="s">
        <v>108</v>
      </c>
      <c r="C43" t="s">
        <v>181</v>
      </c>
      <c r="D43">
        <v>482600</v>
      </c>
      <c r="E43" t="s">
        <v>218</v>
      </c>
      <c r="F43" t="s">
        <v>219</v>
      </c>
      <c r="G43" t="s">
        <v>112</v>
      </c>
      <c r="H43" t="s">
        <v>186</v>
      </c>
      <c r="I43" t="s">
        <v>123</v>
      </c>
      <c r="J43" t="s">
        <v>124</v>
      </c>
      <c r="K43" t="s">
        <v>116</v>
      </c>
      <c r="L43" t="s">
        <v>156</v>
      </c>
      <c r="M43" t="s">
        <v>118</v>
      </c>
      <c r="N43" t="s">
        <v>157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/>
      <c r="BL43" s="15"/>
      <c r="BM43" s="15"/>
      <c r="BN43" s="15"/>
      <c r="BO43" s="15"/>
      <c r="BP43" s="15"/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/>
      <c r="CH43" s="15"/>
      <c r="CI43" s="15">
        <v>0</v>
      </c>
      <c r="CJ43" s="15">
        <v>0</v>
      </c>
      <c r="CK43" s="15">
        <v>0</v>
      </c>
      <c r="CL43" s="21">
        <f>SUM(AE43,AR43,CI43)</f>
        <v>0</v>
      </c>
      <c r="CM43" s="21">
        <f>SUM(AF43,AS43,CJ43)</f>
        <v>0</v>
      </c>
      <c r="CN43" s="21">
        <f>SUM(AG43,AT43,CK43)</f>
        <v>0</v>
      </c>
    </row>
    <row r="44" spans="1:92" x14ac:dyDescent="0.3">
      <c r="A44" t="s">
        <v>0</v>
      </c>
      <c r="B44" t="s">
        <v>108</v>
      </c>
      <c r="C44" t="s">
        <v>181</v>
      </c>
      <c r="D44">
        <v>482611</v>
      </c>
      <c r="E44" t="s">
        <v>220</v>
      </c>
      <c r="F44" t="s">
        <v>221</v>
      </c>
      <c r="G44" t="s">
        <v>112</v>
      </c>
      <c r="H44" t="s">
        <v>186</v>
      </c>
      <c r="I44" t="s">
        <v>123</v>
      </c>
      <c r="J44" t="s">
        <v>124</v>
      </c>
      <c r="K44" t="s">
        <v>116</v>
      </c>
      <c r="L44" t="s">
        <v>162</v>
      </c>
      <c r="M44" t="s">
        <v>118</v>
      </c>
      <c r="N44" t="s">
        <v>163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/>
      <c r="BL44" s="15"/>
      <c r="BM44" s="15"/>
      <c r="BN44" s="15"/>
      <c r="BO44" s="15"/>
      <c r="BP44" s="15"/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/>
      <c r="CH44" s="15"/>
      <c r="CI44" s="15">
        <v>0</v>
      </c>
      <c r="CJ44" s="15">
        <v>0</v>
      </c>
      <c r="CK44" s="15">
        <v>0</v>
      </c>
      <c r="CL44" s="21">
        <f>SUM(AE44,AR44,CI44)</f>
        <v>0</v>
      </c>
      <c r="CM44" s="21">
        <f>SUM(AF44,AS44,CJ44)</f>
        <v>0</v>
      </c>
      <c r="CN44" s="21">
        <f>SUM(AG44,AT44,CK44)</f>
        <v>0</v>
      </c>
    </row>
    <row r="45" spans="1:92" x14ac:dyDescent="0.3">
      <c r="A45" t="s">
        <v>0</v>
      </c>
      <c r="B45" t="s">
        <v>108</v>
      </c>
      <c r="C45" t="s">
        <v>181</v>
      </c>
      <c r="D45">
        <v>482612</v>
      </c>
      <c r="E45" t="s">
        <v>222</v>
      </c>
      <c r="F45" t="s">
        <v>223</v>
      </c>
      <c r="G45" t="s">
        <v>112</v>
      </c>
      <c r="H45" t="s">
        <v>122</v>
      </c>
      <c r="I45" t="s">
        <v>123</v>
      </c>
      <c r="J45" t="s">
        <v>124</v>
      </c>
      <c r="K45" t="s">
        <v>116</v>
      </c>
      <c r="L45" t="s">
        <v>162</v>
      </c>
      <c r="M45" t="s">
        <v>118</v>
      </c>
      <c r="N45" t="s">
        <v>163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/>
      <c r="BL45" s="15"/>
      <c r="BM45" s="15"/>
      <c r="BN45" s="15"/>
      <c r="BO45" s="15"/>
      <c r="BP45" s="15"/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/>
      <c r="CH45" s="15"/>
      <c r="CI45" s="15">
        <v>0</v>
      </c>
      <c r="CJ45" s="15">
        <v>0</v>
      </c>
      <c r="CK45" s="15">
        <v>0</v>
      </c>
      <c r="CL45" s="21">
        <f>SUM(AE45,AR45,CI45)</f>
        <v>0</v>
      </c>
      <c r="CM45" s="21">
        <f>SUM(AF45,AS45,CJ45)</f>
        <v>0</v>
      </c>
      <c r="CN45" s="21">
        <f>SUM(AG45,AT45,CK45)</f>
        <v>0</v>
      </c>
    </row>
    <row r="46" spans="1:92" x14ac:dyDescent="0.3">
      <c r="A46" t="s">
        <v>0</v>
      </c>
      <c r="B46" t="s">
        <v>108</v>
      </c>
      <c r="C46" t="s">
        <v>181</v>
      </c>
      <c r="D46">
        <v>482617</v>
      </c>
      <c r="E46" t="s">
        <v>224</v>
      </c>
      <c r="F46" t="s">
        <v>225</v>
      </c>
      <c r="G46" t="s">
        <v>112</v>
      </c>
      <c r="H46" t="s">
        <v>191</v>
      </c>
      <c r="I46" t="s">
        <v>123</v>
      </c>
      <c r="J46" t="s">
        <v>124</v>
      </c>
      <c r="K46" t="s">
        <v>116</v>
      </c>
      <c r="L46" t="s">
        <v>150</v>
      </c>
      <c r="M46" t="s">
        <v>118</v>
      </c>
      <c r="N46" t="s">
        <v>151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/>
      <c r="BL46" s="15"/>
      <c r="BM46" s="15"/>
      <c r="BN46" s="15"/>
      <c r="BO46" s="15"/>
      <c r="BP46" s="15"/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/>
      <c r="CH46" s="15"/>
      <c r="CI46" s="15">
        <v>0</v>
      </c>
      <c r="CJ46" s="15">
        <v>0</v>
      </c>
      <c r="CK46" s="15">
        <v>0</v>
      </c>
      <c r="CL46" s="21">
        <f>SUM(AE46,AR46,CI46)</f>
        <v>0</v>
      </c>
      <c r="CM46" s="21">
        <f>SUM(AF46,AS46,CJ46)</f>
        <v>0</v>
      </c>
      <c r="CN46" s="21">
        <f>SUM(AG46,AT46,CK46)</f>
        <v>0</v>
      </c>
    </row>
    <row r="47" spans="1:92" x14ac:dyDescent="0.3">
      <c r="A47" t="s">
        <v>0</v>
      </c>
      <c r="B47" t="s">
        <v>108</v>
      </c>
      <c r="C47" t="s">
        <v>181</v>
      </c>
      <c r="D47">
        <v>482619</v>
      </c>
      <c r="E47" t="s">
        <v>226</v>
      </c>
      <c r="F47" t="s">
        <v>227</v>
      </c>
      <c r="G47" t="s">
        <v>112</v>
      </c>
      <c r="H47" t="s">
        <v>191</v>
      </c>
      <c r="I47" t="s">
        <v>123</v>
      </c>
      <c r="J47" t="s">
        <v>124</v>
      </c>
      <c r="K47" t="s">
        <v>116</v>
      </c>
      <c r="L47" t="s">
        <v>156</v>
      </c>
      <c r="M47" t="s">
        <v>118</v>
      </c>
      <c r="N47" t="s">
        <v>157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/>
      <c r="BL47" s="15"/>
      <c r="BM47" s="15"/>
      <c r="BN47" s="15"/>
      <c r="BO47" s="15"/>
      <c r="BP47" s="15"/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/>
      <c r="CH47" s="15"/>
      <c r="CI47" s="15">
        <v>0</v>
      </c>
      <c r="CJ47" s="15">
        <v>0</v>
      </c>
      <c r="CK47" s="15">
        <v>0</v>
      </c>
      <c r="CL47" s="21">
        <f>SUM(AE47,AR47,CI47)</f>
        <v>0</v>
      </c>
      <c r="CM47" s="21">
        <f>SUM(AF47,AS47,CJ47)</f>
        <v>0</v>
      </c>
      <c r="CN47" s="21">
        <f>SUM(AG47,AT47,CK47)</f>
        <v>0</v>
      </c>
    </row>
    <row r="48" spans="1:92" x14ac:dyDescent="0.3">
      <c r="A48" t="s">
        <v>0</v>
      </c>
      <c r="B48" t="s">
        <v>108</v>
      </c>
      <c r="C48" t="s">
        <v>181</v>
      </c>
      <c r="D48">
        <v>482692</v>
      </c>
      <c r="E48" t="s">
        <v>228</v>
      </c>
      <c r="F48" t="s">
        <v>229</v>
      </c>
      <c r="G48" t="s">
        <v>112</v>
      </c>
      <c r="H48" t="s">
        <v>169</v>
      </c>
      <c r="I48" t="s">
        <v>123</v>
      </c>
      <c r="J48" t="s">
        <v>124</v>
      </c>
      <c r="K48" t="s">
        <v>116</v>
      </c>
      <c r="L48" t="s">
        <v>162</v>
      </c>
      <c r="M48" t="s">
        <v>118</v>
      </c>
      <c r="N48" t="s">
        <v>163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/>
      <c r="BL48" s="15"/>
      <c r="BM48" s="15"/>
      <c r="BN48" s="15"/>
      <c r="BO48" s="15"/>
      <c r="BP48" s="15"/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/>
      <c r="CH48" s="15"/>
      <c r="CI48" s="15">
        <v>0</v>
      </c>
      <c r="CJ48" s="15">
        <v>0</v>
      </c>
      <c r="CK48" s="15">
        <v>0</v>
      </c>
      <c r="CL48" s="21">
        <f>SUM(AE48,AR48,CI48)</f>
        <v>0</v>
      </c>
      <c r="CM48" s="21">
        <f>SUM(AF48,AS48,CJ48)</f>
        <v>0</v>
      </c>
      <c r="CN48" s="21">
        <f>SUM(AG48,AT48,CK48)</f>
        <v>0</v>
      </c>
    </row>
    <row r="49" spans="1:92" x14ac:dyDescent="0.3">
      <c r="A49" t="s">
        <v>0</v>
      </c>
      <c r="B49" t="s">
        <v>108</v>
      </c>
      <c r="C49" t="s">
        <v>181</v>
      </c>
      <c r="D49">
        <v>482719</v>
      </c>
      <c r="E49" t="s">
        <v>230</v>
      </c>
      <c r="F49" t="s">
        <v>231</v>
      </c>
      <c r="G49" t="s">
        <v>112</v>
      </c>
      <c r="H49" t="s">
        <v>129</v>
      </c>
      <c r="I49" t="s">
        <v>123</v>
      </c>
      <c r="J49" t="s">
        <v>124</v>
      </c>
      <c r="K49" t="s">
        <v>116</v>
      </c>
      <c r="L49" t="s">
        <v>156</v>
      </c>
      <c r="M49" t="s">
        <v>118</v>
      </c>
      <c r="N49" t="s">
        <v>157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/>
      <c r="BL49" s="15"/>
      <c r="BM49" s="15"/>
      <c r="BN49" s="15"/>
      <c r="BO49" s="15"/>
      <c r="BP49" s="15"/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/>
      <c r="CH49" s="15"/>
      <c r="CI49" s="15">
        <v>0</v>
      </c>
      <c r="CJ49" s="15">
        <v>0</v>
      </c>
      <c r="CK49" s="15">
        <v>0</v>
      </c>
      <c r="CL49" s="21">
        <f>SUM(AE49,AR49,CI49)</f>
        <v>0</v>
      </c>
      <c r="CM49" s="21">
        <f>SUM(AF49,AS49,CJ49)</f>
        <v>0</v>
      </c>
      <c r="CN49" s="21">
        <f>SUM(AG49,AT49,CK49)</f>
        <v>0</v>
      </c>
    </row>
    <row r="50" spans="1:92" x14ac:dyDescent="0.3">
      <c r="A50" t="s">
        <v>0</v>
      </c>
      <c r="B50" t="s">
        <v>108</v>
      </c>
      <c r="C50" t="s">
        <v>181</v>
      </c>
      <c r="D50">
        <v>482730</v>
      </c>
      <c r="E50" t="s">
        <v>232</v>
      </c>
      <c r="F50" t="s">
        <v>233</v>
      </c>
      <c r="G50" t="s">
        <v>112</v>
      </c>
      <c r="H50" t="s">
        <v>186</v>
      </c>
      <c r="I50" t="s">
        <v>123</v>
      </c>
      <c r="J50" t="s">
        <v>124</v>
      </c>
      <c r="K50" t="s">
        <v>116</v>
      </c>
      <c r="L50" t="s">
        <v>162</v>
      </c>
      <c r="M50" t="s">
        <v>118</v>
      </c>
      <c r="N50" t="s">
        <v>163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/>
      <c r="BL50" s="15"/>
      <c r="BM50" s="15"/>
      <c r="BN50" s="15"/>
      <c r="BO50" s="15"/>
      <c r="BP50" s="15"/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/>
      <c r="CH50" s="15"/>
      <c r="CI50" s="15">
        <v>0</v>
      </c>
      <c r="CJ50" s="15">
        <v>0</v>
      </c>
      <c r="CK50" s="15">
        <v>0</v>
      </c>
      <c r="CL50" s="21">
        <f>SUM(AE50,AR50,CI50)</f>
        <v>0</v>
      </c>
      <c r="CM50" s="21">
        <f>SUM(AF50,AS50,CJ50)</f>
        <v>0</v>
      </c>
      <c r="CN50" s="21">
        <f>SUM(AG50,AT50,CK50)</f>
        <v>0</v>
      </c>
    </row>
    <row r="51" spans="1:92" x14ac:dyDescent="0.3">
      <c r="A51" t="s">
        <v>0</v>
      </c>
      <c r="B51" t="s">
        <v>108</v>
      </c>
      <c r="C51" t="s">
        <v>181</v>
      </c>
      <c r="D51">
        <v>482821</v>
      </c>
      <c r="E51" t="s">
        <v>234</v>
      </c>
      <c r="F51" t="s">
        <v>235</v>
      </c>
      <c r="G51" t="s">
        <v>112</v>
      </c>
      <c r="H51" t="s">
        <v>191</v>
      </c>
      <c r="I51" t="s">
        <v>123</v>
      </c>
      <c r="J51" t="s">
        <v>124</v>
      </c>
      <c r="K51" t="s">
        <v>116</v>
      </c>
      <c r="L51" t="s">
        <v>162</v>
      </c>
      <c r="M51" t="s">
        <v>118</v>
      </c>
      <c r="N51" t="s">
        <v>163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/>
      <c r="BL51" s="15"/>
      <c r="BM51" s="15"/>
      <c r="BN51" s="15"/>
      <c r="BO51" s="15"/>
      <c r="BP51" s="15"/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/>
      <c r="CH51" s="15"/>
      <c r="CI51" s="15">
        <v>0</v>
      </c>
      <c r="CJ51" s="15">
        <v>0</v>
      </c>
      <c r="CK51" s="15">
        <v>0</v>
      </c>
      <c r="CL51" s="21">
        <f>SUM(AE51,AR51,CI51)</f>
        <v>0</v>
      </c>
      <c r="CM51" s="21">
        <f>SUM(AF51,AS51,CJ51)</f>
        <v>0</v>
      </c>
      <c r="CN51" s="21">
        <f>SUM(AG51,AT51,CK51)</f>
        <v>0</v>
      </c>
    </row>
    <row r="52" spans="1:92" x14ac:dyDescent="0.3">
      <c r="A52" t="s">
        <v>0</v>
      </c>
      <c r="B52" t="s">
        <v>108</v>
      </c>
      <c r="C52" t="s">
        <v>181</v>
      </c>
      <c r="D52">
        <v>482825</v>
      </c>
      <c r="E52" t="s">
        <v>236</v>
      </c>
      <c r="F52" t="s">
        <v>237</v>
      </c>
      <c r="G52" t="s">
        <v>112</v>
      </c>
      <c r="H52" t="s">
        <v>169</v>
      </c>
      <c r="I52" t="s">
        <v>123</v>
      </c>
      <c r="J52" t="s">
        <v>124</v>
      </c>
      <c r="K52" t="s">
        <v>116</v>
      </c>
      <c r="L52" t="s">
        <v>156</v>
      </c>
      <c r="M52" t="s">
        <v>118</v>
      </c>
      <c r="N52" t="s">
        <v>157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/>
      <c r="BL52" s="15"/>
      <c r="BM52" s="15"/>
      <c r="BN52" s="15"/>
      <c r="BO52" s="15"/>
      <c r="BP52" s="15"/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/>
      <c r="CH52" s="15"/>
      <c r="CI52" s="15">
        <v>0</v>
      </c>
      <c r="CJ52" s="15">
        <v>0</v>
      </c>
      <c r="CK52" s="15">
        <v>0</v>
      </c>
      <c r="CL52" s="21">
        <f>SUM(AE52,AR52,CI52)</f>
        <v>0</v>
      </c>
      <c r="CM52" s="21">
        <f>SUM(AF52,AS52,CJ52)</f>
        <v>0</v>
      </c>
      <c r="CN52" s="21">
        <f>SUM(AG52,AT52,CK52)</f>
        <v>0</v>
      </c>
    </row>
    <row r="53" spans="1:92" x14ac:dyDescent="0.3">
      <c r="A53" t="s">
        <v>0</v>
      </c>
      <c r="B53" t="s">
        <v>108</v>
      </c>
      <c r="C53" t="s">
        <v>238</v>
      </c>
      <c r="D53">
        <v>406495</v>
      </c>
      <c r="E53" t="s">
        <v>239</v>
      </c>
      <c r="F53" t="s">
        <v>240</v>
      </c>
      <c r="G53" t="s">
        <v>112</v>
      </c>
      <c r="H53" t="s">
        <v>136</v>
      </c>
      <c r="I53" t="s">
        <v>123</v>
      </c>
      <c r="J53" t="s">
        <v>124</v>
      </c>
      <c r="K53" t="s">
        <v>116</v>
      </c>
      <c r="L53" t="s">
        <v>162</v>
      </c>
      <c r="M53" t="s">
        <v>118</v>
      </c>
      <c r="N53" t="s">
        <v>163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/>
      <c r="BL53" s="15"/>
      <c r="BM53" s="15"/>
      <c r="BN53" s="15"/>
      <c r="BO53" s="15"/>
      <c r="BP53" s="15"/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5"/>
      <c r="CH53" s="15"/>
      <c r="CI53" s="15">
        <v>0</v>
      </c>
      <c r="CJ53" s="15">
        <v>0</v>
      </c>
      <c r="CK53" s="15">
        <v>0</v>
      </c>
      <c r="CL53" s="21">
        <f>SUM(AE53,AR53,CI53)</f>
        <v>0</v>
      </c>
      <c r="CM53" s="21">
        <f>SUM(AF53,AS53,CJ53)</f>
        <v>0</v>
      </c>
      <c r="CN53" s="21">
        <f>SUM(AG53,AT53,CK53)</f>
        <v>0</v>
      </c>
    </row>
    <row r="54" spans="1:92" x14ac:dyDescent="0.3">
      <c r="A54" t="s">
        <v>0</v>
      </c>
      <c r="B54" t="s">
        <v>108</v>
      </c>
      <c r="C54" t="s">
        <v>238</v>
      </c>
      <c r="D54">
        <v>406500</v>
      </c>
      <c r="E54" t="s">
        <v>241</v>
      </c>
      <c r="F54" t="s">
        <v>242</v>
      </c>
      <c r="G54" t="s">
        <v>112</v>
      </c>
      <c r="H54" t="s">
        <v>136</v>
      </c>
      <c r="I54" t="s">
        <v>123</v>
      </c>
      <c r="J54" t="s">
        <v>124</v>
      </c>
      <c r="K54" t="s">
        <v>243</v>
      </c>
      <c r="L54" t="s">
        <v>150</v>
      </c>
      <c r="M54" t="s">
        <v>118</v>
      </c>
      <c r="N54" t="s">
        <v>151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/>
      <c r="BL54" s="15"/>
      <c r="BM54" s="15"/>
      <c r="BN54" s="15"/>
      <c r="BO54" s="15"/>
      <c r="BP54" s="15"/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/>
      <c r="CH54" s="15"/>
      <c r="CI54" s="15">
        <v>0</v>
      </c>
      <c r="CJ54" s="15">
        <v>0</v>
      </c>
      <c r="CK54" s="15">
        <v>0</v>
      </c>
      <c r="CL54" s="21">
        <f>SUM(AE54,AR54,CI54)</f>
        <v>0</v>
      </c>
      <c r="CM54" s="21">
        <f>SUM(AF54,AS54,CJ54)</f>
        <v>0</v>
      </c>
      <c r="CN54" s="21">
        <f>SUM(AG54,AT54,CK54)</f>
        <v>0</v>
      </c>
    </row>
    <row r="55" spans="1:92" x14ac:dyDescent="0.3">
      <c r="A55" t="s">
        <v>0</v>
      </c>
      <c r="B55" t="s">
        <v>108</v>
      </c>
      <c r="C55" t="s">
        <v>238</v>
      </c>
      <c r="D55">
        <v>406502</v>
      </c>
      <c r="E55" t="s">
        <v>244</v>
      </c>
      <c r="F55" t="s">
        <v>245</v>
      </c>
      <c r="G55" t="s">
        <v>112</v>
      </c>
      <c r="H55" t="s">
        <v>136</v>
      </c>
      <c r="I55" t="s">
        <v>123</v>
      </c>
      <c r="J55" t="s">
        <v>124</v>
      </c>
      <c r="K55" t="s">
        <v>116</v>
      </c>
      <c r="L55" t="s">
        <v>162</v>
      </c>
      <c r="M55" t="s">
        <v>118</v>
      </c>
      <c r="N55" t="s">
        <v>163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/>
      <c r="BL55" s="15"/>
      <c r="BM55" s="15"/>
      <c r="BN55" s="15"/>
      <c r="BO55" s="15"/>
      <c r="BP55" s="15"/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/>
      <c r="CH55" s="15"/>
      <c r="CI55" s="15">
        <v>0</v>
      </c>
      <c r="CJ55" s="15">
        <v>0</v>
      </c>
      <c r="CK55" s="15">
        <v>0</v>
      </c>
      <c r="CL55" s="21">
        <f>SUM(AE55,AR55,CI55)</f>
        <v>0</v>
      </c>
      <c r="CM55" s="21">
        <f>SUM(AF55,AS55,CJ55)</f>
        <v>0</v>
      </c>
      <c r="CN55" s="21">
        <f>SUM(AG55,AT55,CK55)</f>
        <v>0</v>
      </c>
    </row>
    <row r="56" spans="1:92" x14ac:dyDescent="0.3">
      <c r="A56" t="s">
        <v>0</v>
      </c>
      <c r="B56" t="s">
        <v>108</v>
      </c>
      <c r="C56" t="s">
        <v>238</v>
      </c>
      <c r="D56">
        <v>406512</v>
      </c>
      <c r="E56" t="s">
        <v>246</v>
      </c>
      <c r="F56" t="s">
        <v>247</v>
      </c>
      <c r="G56" t="s">
        <v>112</v>
      </c>
      <c r="H56" t="s">
        <v>136</v>
      </c>
      <c r="I56" t="s">
        <v>123</v>
      </c>
      <c r="J56" t="s">
        <v>124</v>
      </c>
      <c r="K56" t="s">
        <v>116</v>
      </c>
      <c r="L56" t="s">
        <v>150</v>
      </c>
      <c r="M56" t="s">
        <v>118</v>
      </c>
      <c r="N56" t="s">
        <v>151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/>
      <c r="BL56" s="15"/>
      <c r="BM56" s="15"/>
      <c r="BN56" s="15"/>
      <c r="BO56" s="15"/>
      <c r="BP56" s="15"/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/>
      <c r="CH56" s="15"/>
      <c r="CI56" s="15">
        <v>0</v>
      </c>
      <c r="CJ56" s="15">
        <v>0</v>
      </c>
      <c r="CK56" s="15">
        <v>0</v>
      </c>
      <c r="CL56" s="21">
        <f>SUM(AE56,AR56,CI56)</f>
        <v>0</v>
      </c>
      <c r="CM56" s="21">
        <f>SUM(AF56,AS56,CJ56)</f>
        <v>0</v>
      </c>
      <c r="CN56" s="21">
        <f>SUM(AG56,AT56,CK56)</f>
        <v>0</v>
      </c>
    </row>
    <row r="57" spans="1:92" x14ac:dyDescent="0.3">
      <c r="A57" t="s">
        <v>0</v>
      </c>
      <c r="B57" t="s">
        <v>108</v>
      </c>
      <c r="C57" t="s">
        <v>238</v>
      </c>
      <c r="D57">
        <v>406570</v>
      </c>
      <c r="E57" t="s">
        <v>248</v>
      </c>
      <c r="F57" t="s">
        <v>249</v>
      </c>
      <c r="G57" t="s">
        <v>112</v>
      </c>
      <c r="H57" t="s">
        <v>136</v>
      </c>
      <c r="I57" t="s">
        <v>123</v>
      </c>
      <c r="J57" t="s">
        <v>124</v>
      </c>
      <c r="K57" t="s">
        <v>116</v>
      </c>
      <c r="L57" t="s">
        <v>150</v>
      </c>
      <c r="M57" t="s">
        <v>118</v>
      </c>
      <c r="N57" t="s">
        <v>151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/>
      <c r="BL57" s="15"/>
      <c r="BM57" s="15"/>
      <c r="BN57" s="15"/>
      <c r="BO57" s="15"/>
      <c r="BP57" s="15"/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5"/>
      <c r="CH57" s="15"/>
      <c r="CI57" s="15">
        <v>0</v>
      </c>
      <c r="CJ57" s="15">
        <v>0</v>
      </c>
      <c r="CK57" s="15">
        <v>0</v>
      </c>
      <c r="CL57" s="21">
        <f>SUM(AE57,AR57,CI57)</f>
        <v>0</v>
      </c>
      <c r="CM57" s="21">
        <f>SUM(AF57,AS57,CJ57)</f>
        <v>0</v>
      </c>
      <c r="CN57" s="21">
        <f>SUM(AG57,AT57,CK57)</f>
        <v>0</v>
      </c>
    </row>
    <row r="58" spans="1:92" x14ac:dyDescent="0.3">
      <c r="A58" t="s">
        <v>0</v>
      </c>
      <c r="B58" t="s">
        <v>108</v>
      </c>
      <c r="C58" t="s">
        <v>238</v>
      </c>
      <c r="D58">
        <v>482522</v>
      </c>
      <c r="E58" t="s">
        <v>250</v>
      </c>
      <c r="F58" t="s">
        <v>251</v>
      </c>
      <c r="G58" t="s">
        <v>112</v>
      </c>
      <c r="H58" t="s">
        <v>136</v>
      </c>
      <c r="I58" t="s">
        <v>123</v>
      </c>
      <c r="J58" t="s">
        <v>124</v>
      </c>
      <c r="K58" t="s">
        <v>116</v>
      </c>
      <c r="L58" t="s">
        <v>150</v>
      </c>
      <c r="M58" t="s">
        <v>118</v>
      </c>
      <c r="N58" t="s">
        <v>151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/>
      <c r="BL58" s="15"/>
      <c r="BM58" s="15"/>
      <c r="BN58" s="15"/>
      <c r="BO58" s="15"/>
      <c r="BP58" s="15"/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/>
      <c r="CH58" s="15"/>
      <c r="CI58" s="15">
        <v>0</v>
      </c>
      <c r="CJ58" s="15">
        <v>0</v>
      </c>
      <c r="CK58" s="15">
        <v>0</v>
      </c>
      <c r="CL58" s="21">
        <f>SUM(AE58,AR58,CI58)</f>
        <v>0</v>
      </c>
      <c r="CM58" s="21">
        <f>SUM(AF58,AS58,CJ58)</f>
        <v>0</v>
      </c>
      <c r="CN58" s="21">
        <f>SUM(AG58,AT58,CK58)</f>
        <v>0</v>
      </c>
    </row>
    <row r="59" spans="1:92" x14ac:dyDescent="0.3">
      <c r="A59" t="s">
        <v>0</v>
      </c>
      <c r="B59" t="s">
        <v>108</v>
      </c>
      <c r="C59" t="s">
        <v>238</v>
      </c>
      <c r="D59">
        <v>482620</v>
      </c>
      <c r="E59" t="s">
        <v>252</v>
      </c>
      <c r="F59" t="s">
        <v>253</v>
      </c>
      <c r="G59" t="s">
        <v>112</v>
      </c>
      <c r="H59" t="s">
        <v>136</v>
      </c>
      <c r="I59" t="s">
        <v>123</v>
      </c>
      <c r="J59" t="s">
        <v>124</v>
      </c>
      <c r="K59" t="s">
        <v>116</v>
      </c>
      <c r="L59" t="s">
        <v>162</v>
      </c>
      <c r="M59" t="s">
        <v>118</v>
      </c>
      <c r="N59" t="s">
        <v>163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/>
      <c r="BL59" s="15"/>
      <c r="BM59" s="15"/>
      <c r="BN59" s="15"/>
      <c r="BO59" s="15"/>
      <c r="BP59" s="15"/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5"/>
      <c r="CH59" s="15"/>
      <c r="CI59" s="15">
        <v>0</v>
      </c>
      <c r="CJ59" s="15">
        <v>0</v>
      </c>
      <c r="CK59" s="15">
        <v>0</v>
      </c>
      <c r="CL59" s="21">
        <f>SUM(AE59,AR59,CI59)</f>
        <v>0</v>
      </c>
      <c r="CM59" s="21">
        <f>SUM(AF59,AS59,CJ59)</f>
        <v>0</v>
      </c>
      <c r="CN59" s="21">
        <f>SUM(AG59,AT59,CK59)</f>
        <v>0</v>
      </c>
    </row>
    <row r="60" spans="1:92" x14ac:dyDescent="0.3">
      <c r="A60" t="s">
        <v>0</v>
      </c>
      <c r="B60" t="s">
        <v>108</v>
      </c>
      <c r="C60" t="s">
        <v>238</v>
      </c>
      <c r="D60">
        <v>482780</v>
      </c>
      <c r="E60" t="s">
        <v>254</v>
      </c>
      <c r="F60" t="s">
        <v>255</v>
      </c>
      <c r="G60" t="s">
        <v>112</v>
      </c>
      <c r="H60" t="s">
        <v>136</v>
      </c>
      <c r="I60" t="s">
        <v>123</v>
      </c>
      <c r="J60" t="s">
        <v>124</v>
      </c>
      <c r="K60" t="s">
        <v>116</v>
      </c>
      <c r="L60" t="s">
        <v>156</v>
      </c>
      <c r="M60" t="s">
        <v>118</v>
      </c>
      <c r="N60" t="s">
        <v>157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/>
      <c r="BL60" s="15"/>
      <c r="BM60" s="15"/>
      <c r="BN60" s="15"/>
      <c r="BO60" s="15"/>
      <c r="BP60" s="15"/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/>
      <c r="CH60" s="15"/>
      <c r="CI60" s="15">
        <v>0</v>
      </c>
      <c r="CJ60" s="15">
        <v>0</v>
      </c>
      <c r="CK60" s="15">
        <v>0</v>
      </c>
      <c r="CL60" s="21">
        <f>SUM(AE60,AR60,CI60)</f>
        <v>0</v>
      </c>
      <c r="CM60" s="21">
        <f>SUM(AF60,AS60,CJ60)</f>
        <v>0</v>
      </c>
      <c r="CN60" s="21">
        <f>SUM(AG60,AT60,CK60)</f>
        <v>0</v>
      </c>
    </row>
    <row r="61" spans="1:92" x14ac:dyDescent="0.3">
      <c r="A61" t="s">
        <v>0</v>
      </c>
      <c r="B61" t="s">
        <v>108</v>
      </c>
      <c r="C61" t="s">
        <v>256</v>
      </c>
      <c r="D61">
        <v>406018</v>
      </c>
      <c r="E61" t="s">
        <v>257</v>
      </c>
      <c r="F61" t="s">
        <v>258</v>
      </c>
      <c r="G61" t="s">
        <v>112</v>
      </c>
      <c r="H61" t="s">
        <v>174</v>
      </c>
      <c r="I61" t="s">
        <v>123</v>
      </c>
      <c r="J61" t="s">
        <v>124</v>
      </c>
      <c r="K61" t="s">
        <v>116</v>
      </c>
      <c r="L61" t="s">
        <v>125</v>
      </c>
      <c r="M61" t="s">
        <v>118</v>
      </c>
      <c r="N61" t="s">
        <v>126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/>
      <c r="BL61" s="15"/>
      <c r="BM61" s="15"/>
      <c r="BN61" s="15"/>
      <c r="BO61" s="15"/>
      <c r="BP61" s="15"/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5"/>
      <c r="CH61" s="15"/>
      <c r="CI61" s="15">
        <v>0</v>
      </c>
      <c r="CJ61" s="15">
        <v>0</v>
      </c>
      <c r="CK61" s="15">
        <v>0</v>
      </c>
      <c r="CL61" s="21">
        <f>SUM(AE61,AR61,CI61)</f>
        <v>0</v>
      </c>
      <c r="CM61" s="21">
        <f>SUM(AF61,AS61,CJ61)</f>
        <v>0</v>
      </c>
      <c r="CN61" s="21">
        <f>SUM(AG61,AT61,CK61)</f>
        <v>0</v>
      </c>
    </row>
    <row r="62" spans="1:92" x14ac:dyDescent="0.3">
      <c r="A62" t="s">
        <v>0</v>
      </c>
      <c r="B62" t="s">
        <v>108</v>
      </c>
      <c r="C62" t="s">
        <v>256</v>
      </c>
      <c r="D62">
        <v>410229</v>
      </c>
      <c r="E62" t="s">
        <v>259</v>
      </c>
      <c r="F62" t="s">
        <v>260</v>
      </c>
      <c r="G62" t="s">
        <v>112</v>
      </c>
      <c r="H62" t="s">
        <v>261</v>
      </c>
      <c r="I62" t="s">
        <v>123</v>
      </c>
      <c r="J62" t="s">
        <v>124</v>
      </c>
      <c r="K62" t="s">
        <v>116</v>
      </c>
      <c r="L62" t="s">
        <v>125</v>
      </c>
      <c r="M62" t="s">
        <v>118</v>
      </c>
      <c r="N62" t="s">
        <v>126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/>
      <c r="BL62" s="15"/>
      <c r="BM62" s="15"/>
      <c r="BN62" s="15"/>
      <c r="BO62" s="15"/>
      <c r="BP62" s="15"/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/>
      <c r="CH62" s="15"/>
      <c r="CI62" s="15">
        <v>0</v>
      </c>
      <c r="CJ62" s="15">
        <v>0</v>
      </c>
      <c r="CK62" s="15">
        <v>0</v>
      </c>
      <c r="CL62" s="21">
        <f>SUM(AE62,AR62,CI62)</f>
        <v>0</v>
      </c>
      <c r="CM62" s="21">
        <f>SUM(AF62,AS62,CJ62)</f>
        <v>0</v>
      </c>
      <c r="CN62" s="21">
        <f>SUM(AG62,AT62,CK62)</f>
        <v>0</v>
      </c>
    </row>
    <row r="63" spans="1:92" x14ac:dyDescent="0.3">
      <c r="A63" t="s">
        <v>0</v>
      </c>
      <c r="B63" t="s">
        <v>108</v>
      </c>
      <c r="C63" t="s">
        <v>262</v>
      </c>
      <c r="D63">
        <v>136520</v>
      </c>
      <c r="E63" t="s">
        <v>263</v>
      </c>
      <c r="F63" t="s">
        <v>264</v>
      </c>
      <c r="G63" t="s">
        <v>112</v>
      </c>
      <c r="H63" t="s">
        <v>138</v>
      </c>
      <c r="I63" t="s">
        <v>114</v>
      </c>
      <c r="J63" t="s">
        <v>115</v>
      </c>
      <c r="K63" t="s">
        <v>116</v>
      </c>
      <c r="L63" t="s">
        <v>162</v>
      </c>
      <c r="M63" t="s">
        <v>118</v>
      </c>
      <c r="N63" t="s">
        <v>163</v>
      </c>
      <c r="O63" s="15">
        <v>2</v>
      </c>
      <c r="P63" s="15">
        <v>1</v>
      </c>
      <c r="Q63" s="15">
        <v>2</v>
      </c>
      <c r="R63" s="15">
        <v>1</v>
      </c>
      <c r="S63" s="15">
        <v>5</v>
      </c>
      <c r="T63" s="15">
        <v>4</v>
      </c>
      <c r="U63" s="15">
        <v>4</v>
      </c>
      <c r="V63" s="15">
        <v>3</v>
      </c>
      <c r="W63" s="15">
        <v>6</v>
      </c>
      <c r="X63" s="15">
        <v>3</v>
      </c>
      <c r="Y63" s="15">
        <v>7</v>
      </c>
      <c r="Z63" s="15">
        <v>8</v>
      </c>
      <c r="AA63" s="15">
        <v>13</v>
      </c>
      <c r="AB63" s="15">
        <v>10</v>
      </c>
      <c r="AC63" s="15">
        <v>0</v>
      </c>
      <c r="AD63" s="15">
        <v>0</v>
      </c>
      <c r="AE63" s="15">
        <v>39</v>
      </c>
      <c r="AF63" s="15">
        <v>30</v>
      </c>
      <c r="AG63" s="15">
        <v>69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/>
      <c r="BL63" s="15"/>
      <c r="BM63" s="15"/>
      <c r="BN63" s="15"/>
      <c r="BO63" s="15"/>
      <c r="BP63" s="15"/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/>
      <c r="CH63" s="15"/>
      <c r="CI63" s="15">
        <v>0</v>
      </c>
      <c r="CJ63" s="15">
        <v>0</v>
      </c>
      <c r="CK63" s="15">
        <v>0</v>
      </c>
      <c r="CL63" s="21">
        <f>SUM(AE63,AR63,CI63)</f>
        <v>39</v>
      </c>
      <c r="CM63" s="21">
        <f>SUM(AF63,AS63,CJ63)</f>
        <v>30</v>
      </c>
      <c r="CN63" s="21">
        <f>SUM(AG63,AT63,CK63)</f>
        <v>69</v>
      </c>
    </row>
    <row r="64" spans="1:92" x14ac:dyDescent="0.3">
      <c r="A64" t="s">
        <v>0</v>
      </c>
      <c r="B64" t="s">
        <v>108</v>
      </c>
      <c r="C64" t="s">
        <v>262</v>
      </c>
      <c r="D64">
        <v>136521</v>
      </c>
      <c r="E64" t="s">
        <v>265</v>
      </c>
      <c r="F64" t="s">
        <v>266</v>
      </c>
      <c r="G64" t="s">
        <v>112</v>
      </c>
      <c r="H64" t="s">
        <v>138</v>
      </c>
      <c r="I64" t="s">
        <v>114</v>
      </c>
      <c r="J64" t="s">
        <v>115</v>
      </c>
      <c r="K64" t="s">
        <v>116</v>
      </c>
      <c r="L64" t="s">
        <v>162</v>
      </c>
      <c r="M64" t="s">
        <v>118</v>
      </c>
      <c r="N64" t="s">
        <v>163</v>
      </c>
      <c r="O64" s="15">
        <v>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1</v>
      </c>
      <c r="Y64" s="15">
        <v>5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6</v>
      </c>
      <c r="AF64" s="15">
        <v>1</v>
      </c>
      <c r="AG64" s="15">
        <v>7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/>
      <c r="BL64" s="15"/>
      <c r="BM64" s="15"/>
      <c r="BN64" s="15"/>
      <c r="BO64" s="15"/>
      <c r="BP64" s="15"/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/>
      <c r="CH64" s="15"/>
      <c r="CI64" s="15">
        <v>0</v>
      </c>
      <c r="CJ64" s="15">
        <v>0</v>
      </c>
      <c r="CK64" s="15">
        <v>0</v>
      </c>
      <c r="CL64" s="21">
        <f>SUM(AE64,AR64,CI64)</f>
        <v>6</v>
      </c>
      <c r="CM64" s="21">
        <f>SUM(AF64,AS64,CJ64)</f>
        <v>1</v>
      </c>
      <c r="CN64" s="21">
        <f>SUM(AG64,AT64,CK64)</f>
        <v>7</v>
      </c>
    </row>
    <row r="65" spans="1:92" x14ac:dyDescent="0.3">
      <c r="A65" t="s">
        <v>0</v>
      </c>
      <c r="B65" t="s">
        <v>108</v>
      </c>
      <c r="C65" t="s">
        <v>262</v>
      </c>
      <c r="D65">
        <v>136523</v>
      </c>
      <c r="E65" t="s">
        <v>267</v>
      </c>
      <c r="F65" t="s">
        <v>268</v>
      </c>
      <c r="G65" t="s">
        <v>112</v>
      </c>
      <c r="H65" t="s">
        <v>147</v>
      </c>
      <c r="I65" t="s">
        <v>114</v>
      </c>
      <c r="J65" t="s">
        <v>115</v>
      </c>
      <c r="K65" t="s">
        <v>116</v>
      </c>
      <c r="L65" t="s">
        <v>162</v>
      </c>
      <c r="M65" t="s">
        <v>118</v>
      </c>
      <c r="N65" t="s">
        <v>163</v>
      </c>
      <c r="O65" s="15">
        <v>0</v>
      </c>
      <c r="P65" s="15">
        <v>0</v>
      </c>
      <c r="Q65" s="15">
        <v>1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1</v>
      </c>
      <c r="Y65" s="15">
        <v>1</v>
      </c>
      <c r="Z65" s="15">
        <v>0</v>
      </c>
      <c r="AA65" s="15">
        <v>1</v>
      </c>
      <c r="AB65" s="15">
        <v>5</v>
      </c>
      <c r="AC65" s="15">
        <v>0</v>
      </c>
      <c r="AD65" s="15">
        <v>2</v>
      </c>
      <c r="AE65" s="15">
        <v>3</v>
      </c>
      <c r="AF65" s="15">
        <v>8</v>
      </c>
      <c r="AG65" s="15">
        <v>11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/>
      <c r="BL65" s="15"/>
      <c r="BM65" s="15"/>
      <c r="BN65" s="15"/>
      <c r="BO65" s="15"/>
      <c r="BP65" s="15"/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/>
      <c r="CH65" s="15"/>
      <c r="CI65" s="15">
        <v>0</v>
      </c>
      <c r="CJ65" s="15">
        <v>0</v>
      </c>
      <c r="CK65" s="15">
        <v>0</v>
      </c>
      <c r="CL65" s="21">
        <f>SUM(AE65,AR65,CI65)</f>
        <v>3</v>
      </c>
      <c r="CM65" s="21">
        <f>SUM(AF65,AS65,CJ65)</f>
        <v>8</v>
      </c>
      <c r="CN65" s="21">
        <f>SUM(AG65,AT65,CK65)</f>
        <v>11</v>
      </c>
    </row>
    <row r="66" spans="1:92" x14ac:dyDescent="0.3">
      <c r="A66" t="s">
        <v>0</v>
      </c>
      <c r="B66" t="s">
        <v>108</v>
      </c>
      <c r="C66" t="s">
        <v>262</v>
      </c>
      <c r="D66">
        <v>136525</v>
      </c>
      <c r="E66" t="s">
        <v>269</v>
      </c>
      <c r="F66" t="s">
        <v>270</v>
      </c>
      <c r="G66" t="s">
        <v>112</v>
      </c>
      <c r="H66" t="s">
        <v>147</v>
      </c>
      <c r="I66" t="s">
        <v>114</v>
      </c>
      <c r="J66" t="s">
        <v>115</v>
      </c>
      <c r="K66" t="s">
        <v>116</v>
      </c>
      <c r="L66" t="s">
        <v>162</v>
      </c>
      <c r="M66" t="s">
        <v>118</v>
      </c>
      <c r="N66" t="s">
        <v>163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1</v>
      </c>
      <c r="V66" s="15">
        <v>1</v>
      </c>
      <c r="W66" s="15">
        <v>0</v>
      </c>
      <c r="X66" s="15">
        <v>0</v>
      </c>
      <c r="Y66" s="15">
        <v>2</v>
      </c>
      <c r="Z66" s="15">
        <v>1</v>
      </c>
      <c r="AA66" s="15">
        <v>0</v>
      </c>
      <c r="AB66" s="15">
        <v>5</v>
      </c>
      <c r="AC66" s="15">
        <v>0</v>
      </c>
      <c r="AD66" s="15">
        <v>0</v>
      </c>
      <c r="AE66" s="15">
        <v>3</v>
      </c>
      <c r="AF66" s="15">
        <v>7</v>
      </c>
      <c r="AG66" s="15">
        <v>10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/>
      <c r="BL66" s="15"/>
      <c r="BM66" s="15"/>
      <c r="BN66" s="15"/>
      <c r="BO66" s="15"/>
      <c r="BP66" s="15"/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0</v>
      </c>
      <c r="CG66" s="15"/>
      <c r="CH66" s="15"/>
      <c r="CI66" s="15">
        <v>0</v>
      </c>
      <c r="CJ66" s="15">
        <v>0</v>
      </c>
      <c r="CK66" s="15">
        <v>0</v>
      </c>
      <c r="CL66" s="21">
        <f>SUM(AE66,AR66,CI66)</f>
        <v>3</v>
      </c>
      <c r="CM66" s="21">
        <f>SUM(AF66,AS66,CJ66)</f>
        <v>7</v>
      </c>
      <c r="CN66" s="21">
        <f>SUM(AG66,AT66,CK66)</f>
        <v>10</v>
      </c>
    </row>
    <row r="67" spans="1:92" x14ac:dyDescent="0.3">
      <c r="A67" t="s">
        <v>0</v>
      </c>
      <c r="B67" t="s">
        <v>108</v>
      </c>
      <c r="C67" t="s">
        <v>262</v>
      </c>
      <c r="D67">
        <v>406533</v>
      </c>
      <c r="E67" t="s">
        <v>271</v>
      </c>
      <c r="F67" t="s">
        <v>272</v>
      </c>
      <c r="G67" t="s">
        <v>112</v>
      </c>
      <c r="H67" t="s">
        <v>129</v>
      </c>
      <c r="I67" t="s">
        <v>123</v>
      </c>
      <c r="J67" t="s">
        <v>130</v>
      </c>
      <c r="K67" t="s">
        <v>116</v>
      </c>
      <c r="L67" t="s">
        <v>125</v>
      </c>
      <c r="M67" t="s">
        <v>118</v>
      </c>
      <c r="N67" t="s">
        <v>126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/>
      <c r="BL67" s="15"/>
      <c r="BM67" s="15"/>
      <c r="BN67" s="15"/>
      <c r="BO67" s="15"/>
      <c r="BP67" s="15"/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5"/>
      <c r="CH67" s="15"/>
      <c r="CI67" s="15">
        <v>0</v>
      </c>
      <c r="CJ67" s="15">
        <v>0</v>
      </c>
      <c r="CK67" s="15">
        <v>0</v>
      </c>
      <c r="CL67" s="21">
        <f>SUM(AE67,AR67,CI67)</f>
        <v>0</v>
      </c>
      <c r="CM67" s="21">
        <f>SUM(AF67,AS67,CJ67)</f>
        <v>0</v>
      </c>
      <c r="CN67" s="21">
        <f>SUM(AG67,AT67,CK67)</f>
        <v>0</v>
      </c>
    </row>
    <row r="68" spans="1:92" x14ac:dyDescent="0.3">
      <c r="A68" t="s">
        <v>0</v>
      </c>
      <c r="B68" t="s">
        <v>108</v>
      </c>
      <c r="C68" t="s">
        <v>262</v>
      </c>
      <c r="D68">
        <v>408500</v>
      </c>
      <c r="E68" t="s">
        <v>273</v>
      </c>
      <c r="F68" t="s">
        <v>274</v>
      </c>
      <c r="G68" t="s">
        <v>112</v>
      </c>
      <c r="H68" t="s">
        <v>122</v>
      </c>
      <c r="I68" t="s">
        <v>123</v>
      </c>
      <c r="J68" t="s">
        <v>124</v>
      </c>
      <c r="K68" t="s">
        <v>116</v>
      </c>
      <c r="L68" t="s">
        <v>214</v>
      </c>
      <c r="M68" t="s">
        <v>118</v>
      </c>
      <c r="N68" t="s">
        <v>163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/>
      <c r="BL68" s="15"/>
      <c r="BM68" s="15"/>
      <c r="BN68" s="15"/>
      <c r="BO68" s="15"/>
      <c r="BP68" s="15"/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/>
      <c r="CH68" s="15"/>
      <c r="CI68" s="15">
        <v>0</v>
      </c>
      <c r="CJ68" s="15">
        <v>0</v>
      </c>
      <c r="CK68" s="15">
        <v>0</v>
      </c>
      <c r="CL68" s="21">
        <f>SUM(AE68,AR68,CI68)</f>
        <v>0</v>
      </c>
      <c r="CM68" s="21">
        <f>SUM(AF68,AS68,CJ68)</f>
        <v>0</v>
      </c>
      <c r="CN68" s="21">
        <f>SUM(AG68,AT68,CK68)</f>
        <v>0</v>
      </c>
    </row>
    <row r="69" spans="1:92" x14ac:dyDescent="0.3">
      <c r="A69" t="s">
        <v>0</v>
      </c>
      <c r="B69" t="s">
        <v>108</v>
      </c>
      <c r="C69" t="s">
        <v>262</v>
      </c>
      <c r="D69">
        <v>409711</v>
      </c>
      <c r="E69" t="s">
        <v>275</v>
      </c>
      <c r="F69" t="s">
        <v>276</v>
      </c>
      <c r="G69" t="s">
        <v>112</v>
      </c>
      <c r="H69" t="s">
        <v>138</v>
      </c>
      <c r="I69" t="s">
        <v>123</v>
      </c>
      <c r="J69" t="s">
        <v>124</v>
      </c>
      <c r="K69" t="s">
        <v>116</v>
      </c>
      <c r="L69" t="s">
        <v>214</v>
      </c>
      <c r="M69" t="s">
        <v>118</v>
      </c>
      <c r="N69" t="s">
        <v>163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/>
      <c r="BL69" s="15"/>
      <c r="BM69" s="15"/>
      <c r="BN69" s="15"/>
      <c r="BO69" s="15"/>
      <c r="BP69" s="15"/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/>
      <c r="CH69" s="15"/>
      <c r="CI69" s="15">
        <v>0</v>
      </c>
      <c r="CJ69" s="15">
        <v>0</v>
      </c>
      <c r="CK69" s="15">
        <v>0</v>
      </c>
      <c r="CL69" s="21">
        <f>SUM(AE69,AR69,CI69)</f>
        <v>0</v>
      </c>
      <c r="CM69" s="21">
        <f>SUM(AF69,AS69,CJ69)</f>
        <v>0</v>
      </c>
      <c r="CN69" s="21">
        <f>SUM(AG69,AT69,CK69)</f>
        <v>0</v>
      </c>
    </row>
    <row r="70" spans="1:92" x14ac:dyDescent="0.3">
      <c r="A70" t="s">
        <v>0</v>
      </c>
      <c r="B70" t="s">
        <v>108</v>
      </c>
      <c r="C70" t="s">
        <v>262</v>
      </c>
      <c r="D70">
        <v>482834</v>
      </c>
      <c r="E70" t="s">
        <v>277</v>
      </c>
      <c r="F70" t="s">
        <v>278</v>
      </c>
      <c r="G70" t="s">
        <v>112</v>
      </c>
      <c r="H70" t="s">
        <v>147</v>
      </c>
      <c r="I70" t="s">
        <v>123</v>
      </c>
      <c r="J70" t="s">
        <v>124</v>
      </c>
      <c r="K70" t="s">
        <v>116</v>
      </c>
      <c r="L70" t="s">
        <v>162</v>
      </c>
      <c r="M70" t="s">
        <v>118</v>
      </c>
      <c r="N70" t="s">
        <v>163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/>
      <c r="BL70" s="15"/>
      <c r="BM70" s="15"/>
      <c r="BN70" s="15"/>
      <c r="BO70" s="15"/>
      <c r="BP70" s="15"/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/>
      <c r="CH70" s="15"/>
      <c r="CI70" s="15">
        <v>0</v>
      </c>
      <c r="CJ70" s="15">
        <v>0</v>
      </c>
      <c r="CK70" s="15">
        <v>0</v>
      </c>
      <c r="CL70" s="21">
        <f>SUM(AE70,AR70,CI70)</f>
        <v>0</v>
      </c>
      <c r="CM70" s="21">
        <f>SUM(AF70,AS70,CJ70)</f>
        <v>0</v>
      </c>
      <c r="CN70" s="21">
        <f>SUM(AG70,AT70,CK70)</f>
        <v>0</v>
      </c>
    </row>
    <row r="71" spans="1:92" x14ac:dyDescent="0.3">
      <c r="A71" t="s">
        <v>0</v>
      </c>
      <c r="B71" t="s">
        <v>108</v>
      </c>
      <c r="C71" t="s">
        <v>262</v>
      </c>
      <c r="D71">
        <v>482835</v>
      </c>
      <c r="E71" t="s">
        <v>279</v>
      </c>
      <c r="F71" t="s">
        <v>280</v>
      </c>
      <c r="G71" t="s">
        <v>112</v>
      </c>
      <c r="H71" t="s">
        <v>147</v>
      </c>
      <c r="I71" t="s">
        <v>123</v>
      </c>
      <c r="J71" t="s">
        <v>124</v>
      </c>
      <c r="K71" t="s">
        <v>116</v>
      </c>
      <c r="L71" t="s">
        <v>162</v>
      </c>
      <c r="M71" t="s">
        <v>118</v>
      </c>
      <c r="N71" t="s">
        <v>163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/>
      <c r="BL71" s="15"/>
      <c r="BM71" s="15"/>
      <c r="BN71" s="15"/>
      <c r="BO71" s="15"/>
      <c r="BP71" s="15"/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5"/>
      <c r="CH71" s="15"/>
      <c r="CI71" s="15">
        <v>0</v>
      </c>
      <c r="CJ71" s="15">
        <v>0</v>
      </c>
      <c r="CK71" s="15">
        <v>0</v>
      </c>
      <c r="CL71" s="21">
        <f>SUM(AE71,AR71,CI71)</f>
        <v>0</v>
      </c>
      <c r="CM71" s="21">
        <f>SUM(AF71,AS71,CJ71)</f>
        <v>0</v>
      </c>
      <c r="CN71" s="21">
        <f>SUM(AG71,AT71,CK71)</f>
        <v>0</v>
      </c>
    </row>
    <row r="72" spans="1:92" x14ac:dyDescent="0.3">
      <c r="A72" t="s">
        <v>0</v>
      </c>
      <c r="B72" t="s">
        <v>108</v>
      </c>
      <c r="C72" t="s">
        <v>262</v>
      </c>
      <c r="D72">
        <v>482916</v>
      </c>
      <c r="E72" t="s">
        <v>281</v>
      </c>
      <c r="F72" t="s">
        <v>282</v>
      </c>
      <c r="G72" t="s">
        <v>112</v>
      </c>
      <c r="H72" t="s">
        <v>174</v>
      </c>
      <c r="I72" t="s">
        <v>123</v>
      </c>
      <c r="J72" t="s">
        <v>124</v>
      </c>
      <c r="K72" t="s">
        <v>116</v>
      </c>
      <c r="L72" t="s">
        <v>214</v>
      </c>
      <c r="M72" t="s">
        <v>118</v>
      </c>
      <c r="N72" t="s">
        <v>163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/>
      <c r="BL72" s="15"/>
      <c r="BM72" s="15"/>
      <c r="BN72" s="15"/>
      <c r="BO72" s="15"/>
      <c r="BP72" s="15"/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/>
      <c r="CH72" s="15"/>
      <c r="CI72" s="15">
        <v>0</v>
      </c>
      <c r="CJ72" s="15">
        <v>0</v>
      </c>
      <c r="CK72" s="15">
        <v>0</v>
      </c>
      <c r="CL72" s="21">
        <f>SUM(AE72,AR72,CI72)</f>
        <v>0</v>
      </c>
      <c r="CM72" s="21">
        <f>SUM(AF72,AS72,CJ72)</f>
        <v>0</v>
      </c>
      <c r="CN72" s="21">
        <f>SUM(AG72,AT72,CK72)</f>
        <v>0</v>
      </c>
    </row>
    <row r="73" spans="1:92" x14ac:dyDescent="0.3">
      <c r="A73" t="s">
        <v>0</v>
      </c>
      <c r="B73" t="s">
        <v>108</v>
      </c>
      <c r="C73" t="s">
        <v>262</v>
      </c>
      <c r="D73">
        <v>482929</v>
      </c>
      <c r="E73" t="s">
        <v>283</v>
      </c>
      <c r="F73" t="s">
        <v>284</v>
      </c>
      <c r="G73" t="s">
        <v>112</v>
      </c>
      <c r="H73" t="s">
        <v>138</v>
      </c>
      <c r="I73" t="s">
        <v>123</v>
      </c>
      <c r="J73" t="s">
        <v>124</v>
      </c>
      <c r="K73" t="s">
        <v>116</v>
      </c>
      <c r="L73" t="s">
        <v>150</v>
      </c>
      <c r="M73" t="s">
        <v>118</v>
      </c>
      <c r="N73" t="s">
        <v>151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/>
      <c r="BL73" s="15"/>
      <c r="BM73" s="15"/>
      <c r="BN73" s="15"/>
      <c r="BO73" s="15"/>
      <c r="BP73" s="15"/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/>
      <c r="CH73" s="15"/>
      <c r="CI73" s="15">
        <v>0</v>
      </c>
      <c r="CJ73" s="15">
        <v>0</v>
      </c>
      <c r="CK73" s="15">
        <v>0</v>
      </c>
      <c r="CL73" s="21">
        <f>SUM(AE73,AR73,CI73)</f>
        <v>0</v>
      </c>
      <c r="CM73" s="21">
        <f>SUM(AF73,AS73,CJ73)</f>
        <v>0</v>
      </c>
      <c r="CN73" s="21">
        <f>SUM(AG73,AT73,CK73)</f>
        <v>0</v>
      </c>
    </row>
    <row r="74" spans="1:92" x14ac:dyDescent="0.3">
      <c r="A74" t="s">
        <v>0</v>
      </c>
      <c r="B74" t="s">
        <v>108</v>
      </c>
      <c r="C74" t="s">
        <v>262</v>
      </c>
      <c r="D74">
        <v>482941</v>
      </c>
      <c r="E74" t="s">
        <v>285</v>
      </c>
      <c r="F74" t="s">
        <v>286</v>
      </c>
      <c r="G74" t="s">
        <v>112</v>
      </c>
      <c r="H74" t="s">
        <v>147</v>
      </c>
      <c r="I74" t="s">
        <v>123</v>
      </c>
      <c r="J74" t="s">
        <v>124</v>
      </c>
      <c r="K74" t="s">
        <v>116</v>
      </c>
      <c r="L74" t="s">
        <v>156</v>
      </c>
      <c r="M74" t="s">
        <v>118</v>
      </c>
      <c r="N74" t="s">
        <v>157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/>
      <c r="BL74" s="15"/>
      <c r="BM74" s="15"/>
      <c r="BN74" s="15"/>
      <c r="BO74" s="15"/>
      <c r="BP74" s="15"/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/>
      <c r="CH74" s="15"/>
      <c r="CI74" s="15">
        <v>0</v>
      </c>
      <c r="CJ74" s="15">
        <v>0</v>
      </c>
      <c r="CK74" s="15">
        <v>0</v>
      </c>
      <c r="CL74" s="21">
        <f>SUM(AE74,AR74,CI74)</f>
        <v>0</v>
      </c>
      <c r="CM74" s="21">
        <f>SUM(AF74,AS74,CJ74)</f>
        <v>0</v>
      </c>
      <c r="CN74" s="21">
        <f>SUM(AG74,AT74,CK74)</f>
        <v>0</v>
      </c>
    </row>
    <row r="75" spans="1:92" x14ac:dyDescent="0.3">
      <c r="A75" t="s">
        <v>0</v>
      </c>
      <c r="B75" t="s">
        <v>108</v>
      </c>
      <c r="C75" t="s">
        <v>262</v>
      </c>
      <c r="D75">
        <v>482968</v>
      </c>
      <c r="E75" t="s">
        <v>287</v>
      </c>
      <c r="F75" t="s">
        <v>288</v>
      </c>
      <c r="G75" t="s">
        <v>112</v>
      </c>
      <c r="H75" t="s">
        <v>138</v>
      </c>
      <c r="I75" t="s">
        <v>123</v>
      </c>
      <c r="J75" t="s">
        <v>124</v>
      </c>
      <c r="K75" t="s">
        <v>116</v>
      </c>
      <c r="L75" t="s">
        <v>162</v>
      </c>
      <c r="M75" t="s">
        <v>118</v>
      </c>
      <c r="N75" t="s">
        <v>163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/>
      <c r="BL75" s="15"/>
      <c r="BM75" s="15"/>
      <c r="BN75" s="15"/>
      <c r="BO75" s="15"/>
      <c r="BP75" s="15"/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5"/>
      <c r="CH75" s="15"/>
      <c r="CI75" s="15">
        <v>0</v>
      </c>
      <c r="CJ75" s="15">
        <v>0</v>
      </c>
      <c r="CK75" s="15">
        <v>0</v>
      </c>
      <c r="CL75" s="21">
        <f>SUM(AE75,AR75,CI75)</f>
        <v>0</v>
      </c>
      <c r="CM75" s="21">
        <f>SUM(AF75,AS75,CJ75)</f>
        <v>0</v>
      </c>
      <c r="CN75" s="21">
        <f>SUM(AG75,AT75,CK75)</f>
        <v>0</v>
      </c>
    </row>
    <row r="76" spans="1:92" x14ac:dyDescent="0.3">
      <c r="A76" t="s">
        <v>0</v>
      </c>
      <c r="B76" t="s">
        <v>108</v>
      </c>
      <c r="C76" t="s">
        <v>289</v>
      </c>
      <c r="D76">
        <v>136527</v>
      </c>
      <c r="E76" t="s">
        <v>290</v>
      </c>
      <c r="F76" t="s">
        <v>291</v>
      </c>
      <c r="G76" t="s">
        <v>112</v>
      </c>
      <c r="H76" t="s">
        <v>174</v>
      </c>
      <c r="I76" t="s">
        <v>114</v>
      </c>
      <c r="J76" t="s">
        <v>115</v>
      </c>
      <c r="K76" t="s">
        <v>116</v>
      </c>
      <c r="L76" t="s">
        <v>162</v>
      </c>
      <c r="M76" t="s">
        <v>118</v>
      </c>
      <c r="N76" t="s">
        <v>163</v>
      </c>
      <c r="O76" s="15">
        <v>1</v>
      </c>
      <c r="P76" s="15">
        <v>1</v>
      </c>
      <c r="Q76" s="15">
        <v>0</v>
      </c>
      <c r="R76" s="15">
        <v>0</v>
      </c>
      <c r="S76" s="15">
        <v>1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</v>
      </c>
      <c r="AF76" s="15">
        <v>2</v>
      </c>
      <c r="AG76" s="15">
        <v>4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/>
      <c r="BL76" s="15"/>
      <c r="BM76" s="15"/>
      <c r="BN76" s="15"/>
      <c r="BO76" s="15"/>
      <c r="BP76" s="15"/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/>
      <c r="CH76" s="15"/>
      <c r="CI76" s="15">
        <v>0</v>
      </c>
      <c r="CJ76" s="15">
        <v>0</v>
      </c>
      <c r="CK76" s="15">
        <v>0</v>
      </c>
      <c r="CL76" s="21">
        <f>SUM(AE76,AR76,CI76)</f>
        <v>2</v>
      </c>
      <c r="CM76" s="21">
        <f>SUM(AF76,AS76,CJ76)</f>
        <v>2</v>
      </c>
      <c r="CN76" s="21">
        <f>SUM(AG76,AT76,CK76)</f>
        <v>4</v>
      </c>
    </row>
    <row r="77" spans="1:92" x14ac:dyDescent="0.3">
      <c r="A77" t="s">
        <v>0</v>
      </c>
      <c r="B77" t="s">
        <v>108</v>
      </c>
      <c r="C77" t="s">
        <v>289</v>
      </c>
      <c r="D77">
        <v>136528</v>
      </c>
      <c r="E77" t="s">
        <v>292</v>
      </c>
      <c r="F77" t="s">
        <v>293</v>
      </c>
      <c r="G77" t="s">
        <v>112</v>
      </c>
      <c r="H77" t="s">
        <v>133</v>
      </c>
      <c r="I77" t="s">
        <v>114</v>
      </c>
      <c r="J77" t="s">
        <v>115</v>
      </c>
      <c r="K77" t="s">
        <v>116</v>
      </c>
      <c r="L77" t="s">
        <v>162</v>
      </c>
      <c r="M77" t="s">
        <v>118</v>
      </c>
      <c r="N77" t="s">
        <v>163</v>
      </c>
      <c r="O77" s="15">
        <v>8</v>
      </c>
      <c r="P77" s="15">
        <v>5</v>
      </c>
      <c r="Q77" s="15">
        <v>20</v>
      </c>
      <c r="R77" s="15">
        <v>26</v>
      </c>
      <c r="S77" s="15">
        <v>20</v>
      </c>
      <c r="T77" s="15">
        <v>27</v>
      </c>
      <c r="U77" s="15">
        <v>43</v>
      </c>
      <c r="V77" s="15">
        <v>33</v>
      </c>
      <c r="W77" s="15">
        <v>31</v>
      </c>
      <c r="X77" s="15">
        <v>28</v>
      </c>
      <c r="Y77" s="15">
        <v>33</v>
      </c>
      <c r="Z77" s="15">
        <v>41</v>
      </c>
      <c r="AA77" s="15">
        <v>75</v>
      </c>
      <c r="AB77" s="15">
        <v>99</v>
      </c>
      <c r="AC77" s="15">
        <v>1</v>
      </c>
      <c r="AD77" s="15">
        <v>1</v>
      </c>
      <c r="AE77" s="15">
        <v>231</v>
      </c>
      <c r="AF77" s="15">
        <v>260</v>
      </c>
      <c r="AG77" s="15">
        <v>491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/>
      <c r="BL77" s="15"/>
      <c r="BM77" s="15"/>
      <c r="BN77" s="15"/>
      <c r="BO77" s="15"/>
      <c r="BP77" s="15"/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/>
      <c r="CH77" s="15"/>
      <c r="CI77" s="15">
        <v>0</v>
      </c>
      <c r="CJ77" s="15">
        <v>0</v>
      </c>
      <c r="CK77" s="15">
        <v>0</v>
      </c>
      <c r="CL77" s="21">
        <f>SUM(AE77,AR77,CI77)</f>
        <v>231</v>
      </c>
      <c r="CM77" s="21">
        <f>SUM(AF77,AS77,CJ77)</f>
        <v>260</v>
      </c>
      <c r="CN77" s="21">
        <f>SUM(AG77,AT77,CK77)</f>
        <v>491</v>
      </c>
    </row>
    <row r="78" spans="1:92" x14ac:dyDescent="0.3">
      <c r="A78" t="s">
        <v>0</v>
      </c>
      <c r="B78" t="s">
        <v>108</v>
      </c>
      <c r="C78" t="s">
        <v>289</v>
      </c>
      <c r="D78">
        <v>136529</v>
      </c>
      <c r="E78" t="s">
        <v>294</v>
      </c>
      <c r="F78" t="s">
        <v>295</v>
      </c>
      <c r="G78" t="s">
        <v>112</v>
      </c>
      <c r="H78" t="s">
        <v>113</v>
      </c>
      <c r="I78" t="s">
        <v>114</v>
      </c>
      <c r="J78" t="s">
        <v>115</v>
      </c>
      <c r="K78" t="s">
        <v>116</v>
      </c>
      <c r="L78" t="s">
        <v>162</v>
      </c>
      <c r="M78" t="s">
        <v>118</v>
      </c>
      <c r="N78" t="s">
        <v>163</v>
      </c>
      <c r="O78" s="15">
        <v>0</v>
      </c>
      <c r="P78" s="15">
        <v>0</v>
      </c>
      <c r="Q78" s="15">
        <v>0</v>
      </c>
      <c r="R78" s="15">
        <v>0</v>
      </c>
      <c r="S78" s="15">
        <v>4</v>
      </c>
      <c r="T78" s="15">
        <v>8</v>
      </c>
      <c r="U78" s="15">
        <v>6</v>
      </c>
      <c r="V78" s="15">
        <v>7</v>
      </c>
      <c r="W78" s="15">
        <v>17</v>
      </c>
      <c r="X78" s="15">
        <v>22</v>
      </c>
      <c r="Y78" s="15">
        <v>4</v>
      </c>
      <c r="Z78" s="15">
        <v>10</v>
      </c>
      <c r="AA78" s="15">
        <v>21</v>
      </c>
      <c r="AB78" s="15">
        <v>20</v>
      </c>
      <c r="AC78" s="15">
        <v>4</v>
      </c>
      <c r="AD78" s="15">
        <v>0</v>
      </c>
      <c r="AE78" s="15">
        <v>56</v>
      </c>
      <c r="AF78" s="15">
        <v>67</v>
      </c>
      <c r="AG78" s="15">
        <v>123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/>
      <c r="BL78" s="15"/>
      <c r="BM78" s="15"/>
      <c r="BN78" s="15"/>
      <c r="BO78" s="15"/>
      <c r="BP78" s="15"/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/>
      <c r="CH78" s="15"/>
      <c r="CI78" s="15">
        <v>0</v>
      </c>
      <c r="CJ78" s="15">
        <v>0</v>
      </c>
      <c r="CK78" s="15">
        <v>0</v>
      </c>
      <c r="CL78" s="21">
        <f>SUM(AE78,AR78,CI78)</f>
        <v>56</v>
      </c>
      <c r="CM78" s="21">
        <f>SUM(AF78,AS78,CJ78)</f>
        <v>67</v>
      </c>
      <c r="CN78" s="21">
        <f>SUM(AG78,AT78,CK78)</f>
        <v>123</v>
      </c>
    </row>
    <row r="79" spans="1:92" x14ac:dyDescent="0.3">
      <c r="A79" t="s">
        <v>0</v>
      </c>
      <c r="B79" t="s">
        <v>108</v>
      </c>
      <c r="C79" t="s">
        <v>289</v>
      </c>
      <c r="D79">
        <v>136530</v>
      </c>
      <c r="E79" t="s">
        <v>296</v>
      </c>
      <c r="F79" t="s">
        <v>297</v>
      </c>
      <c r="G79" t="s">
        <v>112</v>
      </c>
      <c r="H79" t="s">
        <v>261</v>
      </c>
      <c r="I79" t="s">
        <v>114</v>
      </c>
      <c r="J79" t="s">
        <v>115</v>
      </c>
      <c r="K79" t="s">
        <v>116</v>
      </c>
      <c r="L79" t="s">
        <v>162</v>
      </c>
      <c r="M79" t="s">
        <v>118</v>
      </c>
      <c r="N79" t="s">
        <v>163</v>
      </c>
      <c r="O79" s="15">
        <v>0</v>
      </c>
      <c r="P79" s="15">
        <v>0</v>
      </c>
      <c r="Q79" s="15">
        <v>5</v>
      </c>
      <c r="R79" s="15">
        <v>3</v>
      </c>
      <c r="S79" s="15">
        <v>14</v>
      </c>
      <c r="T79" s="15">
        <v>5</v>
      </c>
      <c r="U79" s="15">
        <v>1</v>
      </c>
      <c r="V79" s="15">
        <v>1</v>
      </c>
      <c r="W79" s="15">
        <v>4</v>
      </c>
      <c r="X79" s="15">
        <v>4</v>
      </c>
      <c r="Y79" s="15">
        <v>3</v>
      </c>
      <c r="Z79" s="15">
        <v>3</v>
      </c>
      <c r="AA79" s="15">
        <v>11</v>
      </c>
      <c r="AB79" s="15">
        <v>9</v>
      </c>
      <c r="AC79" s="15">
        <v>0</v>
      </c>
      <c r="AD79" s="15">
        <v>0</v>
      </c>
      <c r="AE79" s="15">
        <v>38</v>
      </c>
      <c r="AF79" s="15">
        <v>25</v>
      </c>
      <c r="AG79" s="15">
        <v>63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/>
      <c r="BL79" s="15"/>
      <c r="BM79" s="15"/>
      <c r="BN79" s="15"/>
      <c r="BO79" s="15"/>
      <c r="BP79" s="15"/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/>
      <c r="CH79" s="15"/>
      <c r="CI79" s="15">
        <v>0</v>
      </c>
      <c r="CJ79" s="15">
        <v>0</v>
      </c>
      <c r="CK79" s="15">
        <v>0</v>
      </c>
      <c r="CL79" s="21">
        <f>SUM(AE79,AR79,CI79)</f>
        <v>38</v>
      </c>
      <c r="CM79" s="21">
        <f>SUM(AF79,AS79,CJ79)</f>
        <v>25</v>
      </c>
      <c r="CN79" s="21">
        <f>SUM(AG79,AT79,CK79)</f>
        <v>63</v>
      </c>
    </row>
    <row r="80" spans="1:92" x14ac:dyDescent="0.3">
      <c r="A80" t="s">
        <v>0</v>
      </c>
      <c r="B80" t="s">
        <v>108</v>
      </c>
      <c r="C80" t="s">
        <v>289</v>
      </c>
      <c r="D80">
        <v>136538</v>
      </c>
      <c r="E80" t="s">
        <v>298</v>
      </c>
      <c r="F80" t="s">
        <v>299</v>
      </c>
      <c r="G80" t="s">
        <v>112</v>
      </c>
      <c r="H80" t="s">
        <v>169</v>
      </c>
      <c r="I80" t="s">
        <v>114</v>
      </c>
      <c r="J80" t="s">
        <v>115</v>
      </c>
      <c r="K80" t="s">
        <v>116</v>
      </c>
      <c r="L80" t="s">
        <v>162</v>
      </c>
      <c r="M80" t="s">
        <v>118</v>
      </c>
      <c r="N80" t="s">
        <v>163</v>
      </c>
      <c r="O80" s="15">
        <v>0</v>
      </c>
      <c r="P80" s="15">
        <v>2</v>
      </c>
      <c r="Q80" s="15">
        <v>3</v>
      </c>
      <c r="R80" s="15">
        <v>2</v>
      </c>
      <c r="S80" s="15">
        <v>1</v>
      </c>
      <c r="T80" s="15">
        <v>0</v>
      </c>
      <c r="U80" s="15">
        <v>4</v>
      </c>
      <c r="V80" s="15">
        <v>4</v>
      </c>
      <c r="W80" s="15">
        <v>13</v>
      </c>
      <c r="X80" s="15">
        <v>8</v>
      </c>
      <c r="Y80" s="15">
        <v>8</v>
      </c>
      <c r="Z80" s="15">
        <v>8</v>
      </c>
      <c r="AA80" s="15">
        <v>6</v>
      </c>
      <c r="AB80" s="15">
        <v>6</v>
      </c>
      <c r="AC80" s="15">
        <v>5</v>
      </c>
      <c r="AD80" s="15">
        <v>0</v>
      </c>
      <c r="AE80" s="15">
        <v>40</v>
      </c>
      <c r="AF80" s="15">
        <v>30</v>
      </c>
      <c r="AG80" s="15">
        <v>70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/>
      <c r="BL80" s="15"/>
      <c r="BM80" s="15"/>
      <c r="BN80" s="15"/>
      <c r="BO80" s="15"/>
      <c r="BP80" s="15"/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/>
      <c r="CH80" s="15"/>
      <c r="CI80" s="15">
        <v>0</v>
      </c>
      <c r="CJ80" s="15">
        <v>0</v>
      </c>
      <c r="CK80" s="15">
        <v>0</v>
      </c>
      <c r="CL80" s="21">
        <f>SUM(AE80,AR80,CI80)</f>
        <v>40</v>
      </c>
      <c r="CM80" s="21">
        <f>SUM(AF80,AS80,CJ80)</f>
        <v>30</v>
      </c>
      <c r="CN80" s="21">
        <f>SUM(AG80,AT80,CK80)</f>
        <v>70</v>
      </c>
    </row>
    <row r="81" spans="1:92" x14ac:dyDescent="0.3">
      <c r="A81" t="s">
        <v>0</v>
      </c>
      <c r="B81" t="s">
        <v>108</v>
      </c>
      <c r="C81" t="s">
        <v>289</v>
      </c>
      <c r="D81">
        <v>340697</v>
      </c>
      <c r="E81" t="s">
        <v>300</v>
      </c>
      <c r="F81" t="s">
        <v>301</v>
      </c>
      <c r="G81" t="s">
        <v>112</v>
      </c>
      <c r="H81" t="s">
        <v>133</v>
      </c>
      <c r="I81" t="s">
        <v>114</v>
      </c>
      <c r="J81" t="s">
        <v>115</v>
      </c>
      <c r="K81" t="s">
        <v>116</v>
      </c>
      <c r="L81" t="s">
        <v>125</v>
      </c>
      <c r="M81" t="s">
        <v>118</v>
      </c>
      <c r="N81" t="s">
        <v>126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/>
      <c r="BL81" s="15"/>
      <c r="BM81" s="15"/>
      <c r="BN81" s="15"/>
      <c r="BO81" s="15"/>
      <c r="BP81" s="15"/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5"/>
      <c r="CH81" s="15"/>
      <c r="CI81" s="15">
        <v>0</v>
      </c>
      <c r="CJ81" s="15">
        <v>0</v>
      </c>
      <c r="CK81" s="15">
        <v>0</v>
      </c>
      <c r="CL81" s="21">
        <f>SUM(AE81,AR81,CI81)</f>
        <v>0</v>
      </c>
      <c r="CM81" s="21">
        <f>SUM(AF81,AS81,CJ81)</f>
        <v>0</v>
      </c>
      <c r="CN81" s="21">
        <f>SUM(AG81,AT81,CK81)</f>
        <v>0</v>
      </c>
    </row>
    <row r="82" spans="1:92" x14ac:dyDescent="0.3">
      <c r="A82" t="s">
        <v>0</v>
      </c>
      <c r="B82" t="s">
        <v>108</v>
      </c>
      <c r="C82" t="s">
        <v>289</v>
      </c>
      <c r="D82">
        <v>409329</v>
      </c>
      <c r="E82" t="s">
        <v>302</v>
      </c>
      <c r="F82" t="s">
        <v>303</v>
      </c>
      <c r="G82" t="s">
        <v>112</v>
      </c>
      <c r="H82" t="s">
        <v>217</v>
      </c>
      <c r="I82" t="s">
        <v>123</v>
      </c>
      <c r="J82" t="s">
        <v>124</v>
      </c>
      <c r="K82" t="s">
        <v>116</v>
      </c>
      <c r="L82" t="s">
        <v>162</v>
      </c>
      <c r="M82" t="s">
        <v>118</v>
      </c>
      <c r="N82" t="s">
        <v>163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/>
      <c r="BL82" s="15"/>
      <c r="BM82" s="15"/>
      <c r="BN82" s="15"/>
      <c r="BO82" s="15"/>
      <c r="BP82" s="15"/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/>
      <c r="CH82" s="15"/>
      <c r="CI82" s="15">
        <v>0</v>
      </c>
      <c r="CJ82" s="15">
        <v>0</v>
      </c>
      <c r="CK82" s="15">
        <v>0</v>
      </c>
      <c r="CL82" s="21">
        <f>SUM(AE82,AR82,CI82)</f>
        <v>0</v>
      </c>
      <c r="CM82" s="21">
        <f>SUM(AF82,AS82,CJ82)</f>
        <v>0</v>
      </c>
      <c r="CN82" s="21">
        <f>SUM(AG82,AT82,CK82)</f>
        <v>0</v>
      </c>
    </row>
    <row r="83" spans="1:92" x14ac:dyDescent="0.3">
      <c r="A83" t="s">
        <v>0</v>
      </c>
      <c r="B83" t="s">
        <v>108</v>
      </c>
      <c r="C83" t="s">
        <v>289</v>
      </c>
      <c r="D83">
        <v>409731</v>
      </c>
      <c r="E83" t="s">
        <v>304</v>
      </c>
      <c r="F83" t="s">
        <v>305</v>
      </c>
      <c r="G83" t="s">
        <v>112</v>
      </c>
      <c r="H83" t="s">
        <v>113</v>
      </c>
      <c r="I83" t="s">
        <v>123</v>
      </c>
      <c r="J83" t="s">
        <v>124</v>
      </c>
      <c r="K83" t="s">
        <v>116</v>
      </c>
      <c r="L83" t="s">
        <v>162</v>
      </c>
      <c r="M83" t="s">
        <v>118</v>
      </c>
      <c r="N83" t="s">
        <v>163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/>
      <c r="BL83" s="15"/>
      <c r="BM83" s="15"/>
      <c r="BN83" s="15"/>
      <c r="BO83" s="15"/>
      <c r="BP83" s="15"/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/>
      <c r="CH83" s="15"/>
      <c r="CI83" s="15">
        <v>0</v>
      </c>
      <c r="CJ83" s="15">
        <v>0</v>
      </c>
      <c r="CK83" s="15">
        <v>0</v>
      </c>
      <c r="CL83" s="21">
        <f>SUM(AE83,AR83,CI83)</f>
        <v>0</v>
      </c>
      <c r="CM83" s="21">
        <f>SUM(AF83,AS83,CJ83)</f>
        <v>0</v>
      </c>
      <c r="CN83" s="21">
        <f>SUM(AG83,AT83,CK83)</f>
        <v>0</v>
      </c>
    </row>
    <row r="84" spans="1:92" x14ac:dyDescent="0.3">
      <c r="A84" t="s">
        <v>0</v>
      </c>
      <c r="B84" t="s">
        <v>108</v>
      </c>
      <c r="C84" t="s">
        <v>289</v>
      </c>
      <c r="D84">
        <v>409737</v>
      </c>
      <c r="E84" t="s">
        <v>306</v>
      </c>
      <c r="F84" t="s">
        <v>307</v>
      </c>
      <c r="G84" t="s">
        <v>112</v>
      </c>
      <c r="H84" t="s">
        <v>133</v>
      </c>
      <c r="I84" t="s">
        <v>123</v>
      </c>
      <c r="J84" t="s">
        <v>124</v>
      </c>
      <c r="K84" t="s">
        <v>116</v>
      </c>
      <c r="L84" t="s">
        <v>125</v>
      </c>
      <c r="M84" t="s">
        <v>118</v>
      </c>
      <c r="N84" t="s">
        <v>126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/>
      <c r="BL84" s="15"/>
      <c r="BM84" s="15"/>
      <c r="BN84" s="15"/>
      <c r="BO84" s="15"/>
      <c r="BP84" s="15"/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/>
      <c r="CH84" s="15"/>
      <c r="CI84" s="15">
        <v>0</v>
      </c>
      <c r="CJ84" s="15">
        <v>0</v>
      </c>
      <c r="CK84" s="15">
        <v>0</v>
      </c>
      <c r="CL84" s="21">
        <f>SUM(AE84,AR84,CI84)</f>
        <v>0</v>
      </c>
      <c r="CM84" s="21">
        <f>SUM(AF84,AS84,CJ84)</f>
        <v>0</v>
      </c>
      <c r="CN84" s="21">
        <f>SUM(AG84,AT84,CK84)</f>
        <v>0</v>
      </c>
    </row>
    <row r="85" spans="1:92" x14ac:dyDescent="0.3">
      <c r="A85" t="s">
        <v>0</v>
      </c>
      <c r="B85" t="s">
        <v>108</v>
      </c>
      <c r="C85" t="s">
        <v>289</v>
      </c>
      <c r="D85">
        <v>482830</v>
      </c>
      <c r="E85" t="s">
        <v>308</v>
      </c>
      <c r="F85" t="s">
        <v>309</v>
      </c>
      <c r="G85" t="s">
        <v>112</v>
      </c>
      <c r="H85" t="s">
        <v>261</v>
      </c>
      <c r="I85" t="s">
        <v>123</v>
      </c>
      <c r="J85" t="s">
        <v>124</v>
      </c>
      <c r="K85" t="s">
        <v>116</v>
      </c>
      <c r="L85" t="s">
        <v>162</v>
      </c>
      <c r="M85" t="s">
        <v>118</v>
      </c>
      <c r="N85" t="s">
        <v>163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/>
      <c r="BL85" s="15"/>
      <c r="BM85" s="15"/>
      <c r="BN85" s="15"/>
      <c r="BO85" s="15"/>
      <c r="BP85" s="15"/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5"/>
      <c r="CH85" s="15"/>
      <c r="CI85" s="15">
        <v>0</v>
      </c>
      <c r="CJ85" s="15">
        <v>0</v>
      </c>
      <c r="CK85" s="15">
        <v>0</v>
      </c>
      <c r="CL85" s="21">
        <f>SUM(AE85,AR85,CI85)</f>
        <v>0</v>
      </c>
      <c r="CM85" s="21">
        <f>SUM(AF85,AS85,CJ85)</f>
        <v>0</v>
      </c>
      <c r="CN85" s="21">
        <f>SUM(AG85,AT85,CK85)</f>
        <v>0</v>
      </c>
    </row>
    <row r="86" spans="1:92" x14ac:dyDescent="0.3">
      <c r="A86" t="s">
        <v>0</v>
      </c>
      <c r="B86" t="s">
        <v>108</v>
      </c>
      <c r="C86" t="s">
        <v>289</v>
      </c>
      <c r="D86">
        <v>482836</v>
      </c>
      <c r="E86" t="s">
        <v>310</v>
      </c>
      <c r="F86" t="s">
        <v>311</v>
      </c>
      <c r="G86" t="s">
        <v>112</v>
      </c>
      <c r="H86" t="s">
        <v>174</v>
      </c>
      <c r="I86" t="s">
        <v>123</v>
      </c>
      <c r="J86" t="s">
        <v>124</v>
      </c>
      <c r="K86" t="s">
        <v>116</v>
      </c>
      <c r="L86" t="s">
        <v>162</v>
      </c>
      <c r="M86" t="s">
        <v>118</v>
      </c>
      <c r="N86" t="s">
        <v>163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/>
      <c r="BL86" s="15"/>
      <c r="BM86" s="15"/>
      <c r="BN86" s="15"/>
      <c r="BO86" s="15"/>
      <c r="BP86" s="15"/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/>
      <c r="CH86" s="15"/>
      <c r="CI86" s="15">
        <v>0</v>
      </c>
      <c r="CJ86" s="15">
        <v>0</v>
      </c>
      <c r="CK86" s="15">
        <v>0</v>
      </c>
      <c r="CL86" s="21">
        <f>SUM(AE86,AR86,CI86)</f>
        <v>0</v>
      </c>
      <c r="CM86" s="21">
        <f>SUM(AF86,AS86,CJ86)</f>
        <v>0</v>
      </c>
      <c r="CN86" s="21">
        <f>SUM(AG86,AT86,CK86)</f>
        <v>0</v>
      </c>
    </row>
    <row r="87" spans="1:92" x14ac:dyDescent="0.3">
      <c r="A87" t="s">
        <v>0</v>
      </c>
      <c r="B87" t="s">
        <v>108</v>
      </c>
      <c r="C87" t="s">
        <v>289</v>
      </c>
      <c r="D87">
        <v>482887</v>
      </c>
      <c r="E87" t="s">
        <v>312</v>
      </c>
      <c r="F87" t="s">
        <v>313</v>
      </c>
      <c r="G87" t="s">
        <v>112</v>
      </c>
      <c r="H87" t="s">
        <v>113</v>
      </c>
      <c r="I87" t="s">
        <v>123</v>
      </c>
      <c r="J87" t="s">
        <v>124</v>
      </c>
      <c r="K87" t="s">
        <v>116</v>
      </c>
      <c r="L87" t="s">
        <v>162</v>
      </c>
      <c r="M87" t="s">
        <v>118</v>
      </c>
      <c r="N87" t="s">
        <v>163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/>
      <c r="BL87" s="15"/>
      <c r="BM87" s="15"/>
      <c r="BN87" s="15"/>
      <c r="BO87" s="15"/>
      <c r="BP87" s="15"/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5"/>
      <c r="CH87" s="15"/>
      <c r="CI87" s="15">
        <v>0</v>
      </c>
      <c r="CJ87" s="15">
        <v>0</v>
      </c>
      <c r="CK87" s="15">
        <v>0</v>
      </c>
      <c r="CL87" s="21">
        <f>SUM(AE87,AR87,CI87)</f>
        <v>0</v>
      </c>
      <c r="CM87" s="21">
        <f>SUM(AF87,AS87,CJ87)</f>
        <v>0</v>
      </c>
      <c r="CN87" s="21">
        <f>SUM(AG87,AT87,CK87)</f>
        <v>0</v>
      </c>
    </row>
    <row r="88" spans="1:92" x14ac:dyDescent="0.3">
      <c r="A88" t="s">
        <v>0</v>
      </c>
      <c r="B88" t="s">
        <v>108</v>
      </c>
      <c r="C88" t="s">
        <v>289</v>
      </c>
      <c r="D88">
        <v>482889</v>
      </c>
      <c r="E88" t="s">
        <v>314</v>
      </c>
      <c r="F88" t="s">
        <v>315</v>
      </c>
      <c r="G88" t="s">
        <v>112</v>
      </c>
      <c r="H88" t="s">
        <v>113</v>
      </c>
      <c r="I88" t="s">
        <v>123</v>
      </c>
      <c r="J88" t="s">
        <v>124</v>
      </c>
      <c r="K88" t="s">
        <v>116</v>
      </c>
      <c r="L88" t="s">
        <v>162</v>
      </c>
      <c r="M88" t="s">
        <v>118</v>
      </c>
      <c r="N88" t="s">
        <v>163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/>
      <c r="BL88" s="15"/>
      <c r="BM88" s="15"/>
      <c r="BN88" s="15"/>
      <c r="BO88" s="15"/>
      <c r="BP88" s="15"/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/>
      <c r="CH88" s="15"/>
      <c r="CI88" s="15">
        <v>0</v>
      </c>
      <c r="CJ88" s="15">
        <v>0</v>
      </c>
      <c r="CK88" s="15">
        <v>0</v>
      </c>
      <c r="CL88" s="21">
        <f>SUM(AE88,AR88,CI88)</f>
        <v>0</v>
      </c>
      <c r="CM88" s="21">
        <f>SUM(AF88,AS88,CJ88)</f>
        <v>0</v>
      </c>
      <c r="CN88" s="21">
        <f>SUM(AG88,AT88,CK88)</f>
        <v>0</v>
      </c>
    </row>
    <row r="89" spans="1:92" x14ac:dyDescent="0.3">
      <c r="A89" t="s">
        <v>0</v>
      </c>
      <c r="B89" t="s">
        <v>108</v>
      </c>
      <c r="C89" t="s">
        <v>289</v>
      </c>
      <c r="D89">
        <v>482890</v>
      </c>
      <c r="E89" t="s">
        <v>316</v>
      </c>
      <c r="F89" t="s">
        <v>317</v>
      </c>
      <c r="G89" t="s">
        <v>112</v>
      </c>
      <c r="H89" t="s">
        <v>261</v>
      </c>
      <c r="I89" t="s">
        <v>123</v>
      </c>
      <c r="J89" t="s">
        <v>124</v>
      </c>
      <c r="K89" t="s">
        <v>116</v>
      </c>
      <c r="L89" t="s">
        <v>162</v>
      </c>
      <c r="M89" t="s">
        <v>118</v>
      </c>
      <c r="N89" t="s">
        <v>163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/>
      <c r="BL89" s="15"/>
      <c r="BM89" s="15"/>
      <c r="BN89" s="15"/>
      <c r="BO89" s="15"/>
      <c r="BP89" s="15"/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/>
      <c r="CH89" s="15"/>
      <c r="CI89" s="15">
        <v>0</v>
      </c>
      <c r="CJ89" s="15">
        <v>0</v>
      </c>
      <c r="CK89" s="15">
        <v>0</v>
      </c>
      <c r="CL89" s="21">
        <f>SUM(AE89,AR89,CI89)</f>
        <v>0</v>
      </c>
      <c r="CM89" s="21">
        <f>SUM(AF89,AS89,CJ89)</f>
        <v>0</v>
      </c>
      <c r="CN89" s="21">
        <f>SUM(AG89,AT89,CK89)</f>
        <v>0</v>
      </c>
    </row>
    <row r="90" spans="1:92" x14ac:dyDescent="0.3">
      <c r="A90" t="s">
        <v>0</v>
      </c>
      <c r="B90" t="s">
        <v>108</v>
      </c>
      <c r="C90" t="s">
        <v>289</v>
      </c>
      <c r="D90">
        <v>482897</v>
      </c>
      <c r="E90" t="s">
        <v>318</v>
      </c>
      <c r="F90" t="s">
        <v>319</v>
      </c>
      <c r="G90" t="s">
        <v>112</v>
      </c>
      <c r="H90" t="s">
        <v>261</v>
      </c>
      <c r="I90" t="s">
        <v>123</v>
      </c>
      <c r="J90" t="s">
        <v>124</v>
      </c>
      <c r="K90" t="s">
        <v>116</v>
      </c>
      <c r="L90" t="s">
        <v>156</v>
      </c>
      <c r="M90" t="s">
        <v>118</v>
      </c>
      <c r="N90" t="s">
        <v>157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/>
      <c r="BL90" s="15"/>
      <c r="BM90" s="15"/>
      <c r="BN90" s="15"/>
      <c r="BO90" s="15"/>
      <c r="BP90" s="15"/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/>
      <c r="CH90" s="15"/>
      <c r="CI90" s="15">
        <v>0</v>
      </c>
      <c r="CJ90" s="15">
        <v>0</v>
      </c>
      <c r="CK90" s="15">
        <v>0</v>
      </c>
      <c r="CL90" s="21">
        <f>SUM(AE90,AR90,CI90)</f>
        <v>0</v>
      </c>
      <c r="CM90" s="21">
        <f>SUM(AF90,AS90,CJ90)</f>
        <v>0</v>
      </c>
      <c r="CN90" s="21">
        <f>SUM(AG90,AT90,CK90)</f>
        <v>0</v>
      </c>
    </row>
    <row r="91" spans="1:92" x14ac:dyDescent="0.3">
      <c r="A91" t="s">
        <v>0</v>
      </c>
      <c r="B91" t="s">
        <v>108</v>
      </c>
      <c r="C91" t="s">
        <v>289</v>
      </c>
      <c r="D91">
        <v>482903</v>
      </c>
      <c r="E91" t="s">
        <v>320</v>
      </c>
      <c r="F91" t="s">
        <v>321</v>
      </c>
      <c r="G91" t="s">
        <v>112</v>
      </c>
      <c r="H91" t="s">
        <v>174</v>
      </c>
      <c r="I91" t="s">
        <v>123</v>
      </c>
      <c r="J91" t="s">
        <v>124</v>
      </c>
      <c r="K91" t="s">
        <v>116</v>
      </c>
      <c r="L91" t="s">
        <v>162</v>
      </c>
      <c r="M91" t="s">
        <v>118</v>
      </c>
      <c r="N91" t="s">
        <v>163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/>
      <c r="BL91" s="15"/>
      <c r="BM91" s="15"/>
      <c r="BN91" s="15"/>
      <c r="BO91" s="15"/>
      <c r="BP91" s="15"/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5"/>
      <c r="CH91" s="15"/>
      <c r="CI91" s="15">
        <v>0</v>
      </c>
      <c r="CJ91" s="15">
        <v>0</v>
      </c>
      <c r="CK91" s="15">
        <v>0</v>
      </c>
      <c r="CL91" s="21">
        <f>SUM(AE91,AR91,CI91)</f>
        <v>0</v>
      </c>
      <c r="CM91" s="21">
        <f>SUM(AF91,AS91,CJ91)</f>
        <v>0</v>
      </c>
      <c r="CN91" s="21">
        <f>SUM(AG91,AT91,CK91)</f>
        <v>0</v>
      </c>
    </row>
    <row r="92" spans="1:92" x14ac:dyDescent="0.3">
      <c r="A92" t="s">
        <v>0</v>
      </c>
      <c r="B92" t="s">
        <v>108</v>
      </c>
      <c r="C92" t="s">
        <v>289</v>
      </c>
      <c r="D92">
        <v>482909</v>
      </c>
      <c r="E92" t="s">
        <v>322</v>
      </c>
      <c r="F92" t="s">
        <v>323</v>
      </c>
      <c r="G92" t="s">
        <v>112</v>
      </c>
      <c r="H92" t="s">
        <v>113</v>
      </c>
      <c r="I92" t="s">
        <v>123</v>
      </c>
      <c r="J92" t="s">
        <v>124</v>
      </c>
      <c r="K92" t="s">
        <v>116</v>
      </c>
      <c r="L92" t="s">
        <v>162</v>
      </c>
      <c r="M92" t="s">
        <v>118</v>
      </c>
      <c r="N92" t="s">
        <v>163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/>
      <c r="BL92" s="15"/>
      <c r="BM92" s="15"/>
      <c r="BN92" s="15"/>
      <c r="BO92" s="15"/>
      <c r="BP92" s="15"/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/>
      <c r="CH92" s="15"/>
      <c r="CI92" s="15">
        <v>0</v>
      </c>
      <c r="CJ92" s="15">
        <v>0</v>
      </c>
      <c r="CK92" s="15">
        <v>0</v>
      </c>
      <c r="CL92" s="21">
        <f>SUM(AE92,AR92,CI92)</f>
        <v>0</v>
      </c>
      <c r="CM92" s="21">
        <f>SUM(AF92,AS92,CJ92)</f>
        <v>0</v>
      </c>
      <c r="CN92" s="21">
        <f>SUM(AG92,AT92,CK92)</f>
        <v>0</v>
      </c>
    </row>
    <row r="93" spans="1:92" x14ac:dyDescent="0.3">
      <c r="A93" t="s">
        <v>0</v>
      </c>
      <c r="B93" t="s">
        <v>108</v>
      </c>
      <c r="C93" t="s">
        <v>289</v>
      </c>
      <c r="D93">
        <v>482963</v>
      </c>
      <c r="E93" t="s">
        <v>324</v>
      </c>
      <c r="F93" t="s">
        <v>325</v>
      </c>
      <c r="G93" t="s">
        <v>112</v>
      </c>
      <c r="H93" t="s">
        <v>113</v>
      </c>
      <c r="I93" t="s">
        <v>123</v>
      </c>
      <c r="J93" t="s">
        <v>124</v>
      </c>
      <c r="K93" t="s">
        <v>116</v>
      </c>
      <c r="L93" t="s">
        <v>162</v>
      </c>
      <c r="M93" t="s">
        <v>118</v>
      </c>
      <c r="N93" t="s">
        <v>163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/>
      <c r="BL93" s="15"/>
      <c r="BM93" s="15"/>
      <c r="BN93" s="15"/>
      <c r="BO93" s="15"/>
      <c r="BP93" s="15"/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/>
      <c r="CH93" s="15"/>
      <c r="CI93" s="15">
        <v>0</v>
      </c>
      <c r="CJ93" s="15">
        <v>0</v>
      </c>
      <c r="CK93" s="15">
        <v>0</v>
      </c>
      <c r="CL93" s="21">
        <f>SUM(AE93,AR93,CI93)</f>
        <v>0</v>
      </c>
      <c r="CM93" s="21">
        <f>SUM(AF93,AS93,CJ93)</f>
        <v>0</v>
      </c>
      <c r="CN93" s="21">
        <f>SUM(AG93,AT93,CK93)</f>
        <v>0</v>
      </c>
    </row>
    <row r="94" spans="1:92" x14ac:dyDescent="0.3">
      <c r="A94" t="s">
        <v>0</v>
      </c>
      <c r="B94" t="s">
        <v>108</v>
      </c>
      <c r="C94" t="s">
        <v>289</v>
      </c>
      <c r="D94">
        <v>482978</v>
      </c>
      <c r="E94" t="s">
        <v>326</v>
      </c>
      <c r="F94" t="s">
        <v>327</v>
      </c>
      <c r="G94" t="s">
        <v>112</v>
      </c>
      <c r="H94" t="s">
        <v>113</v>
      </c>
      <c r="I94" t="s">
        <v>123</v>
      </c>
      <c r="J94" t="s">
        <v>124</v>
      </c>
      <c r="K94" t="s">
        <v>116</v>
      </c>
      <c r="L94" t="s">
        <v>162</v>
      </c>
      <c r="M94" t="s">
        <v>118</v>
      </c>
      <c r="N94" t="s">
        <v>163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/>
      <c r="BL94" s="15"/>
      <c r="BM94" s="15"/>
      <c r="BN94" s="15"/>
      <c r="BO94" s="15"/>
      <c r="BP94" s="15"/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/>
      <c r="CH94" s="15"/>
      <c r="CI94" s="15">
        <v>0</v>
      </c>
      <c r="CJ94" s="15">
        <v>0</v>
      </c>
      <c r="CK94" s="15">
        <v>0</v>
      </c>
      <c r="CL94" s="21">
        <f>SUM(AE94,AR94,CI94)</f>
        <v>0</v>
      </c>
      <c r="CM94" s="21">
        <f>SUM(AF94,AS94,CJ94)</f>
        <v>0</v>
      </c>
      <c r="CN94" s="21">
        <f>SUM(AG94,AT94,CK94)</f>
        <v>0</v>
      </c>
    </row>
    <row r="95" spans="1:92" x14ac:dyDescent="0.3">
      <c r="A95" t="s">
        <v>0</v>
      </c>
      <c r="B95" t="s">
        <v>108</v>
      </c>
      <c r="C95" t="s">
        <v>289</v>
      </c>
      <c r="D95">
        <v>482979</v>
      </c>
      <c r="E95" t="s">
        <v>328</v>
      </c>
      <c r="F95" t="s">
        <v>329</v>
      </c>
      <c r="G95" t="s">
        <v>112</v>
      </c>
      <c r="H95" t="s">
        <v>133</v>
      </c>
      <c r="I95" t="s">
        <v>123</v>
      </c>
      <c r="J95" t="s">
        <v>124</v>
      </c>
      <c r="K95" t="s">
        <v>116</v>
      </c>
      <c r="L95" t="s">
        <v>150</v>
      </c>
      <c r="M95" t="s">
        <v>118</v>
      </c>
      <c r="N95" t="s">
        <v>151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/>
      <c r="BL95" s="15"/>
      <c r="BM95" s="15"/>
      <c r="BN95" s="15"/>
      <c r="BO95" s="15"/>
      <c r="BP95" s="15"/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/>
      <c r="CH95" s="15"/>
      <c r="CI95" s="15">
        <v>0</v>
      </c>
      <c r="CJ95" s="15">
        <v>0</v>
      </c>
      <c r="CK95" s="15">
        <v>0</v>
      </c>
      <c r="CL95" s="21">
        <f>SUM(AE95,AR95,CI95)</f>
        <v>0</v>
      </c>
      <c r="CM95" s="21">
        <f>SUM(AF95,AS95,CJ95)</f>
        <v>0</v>
      </c>
      <c r="CN95" s="21">
        <f>SUM(AG95,AT95,CK95)</f>
        <v>0</v>
      </c>
    </row>
    <row r="96" spans="1:92" x14ac:dyDescent="0.3">
      <c r="A96" t="s">
        <v>0</v>
      </c>
      <c r="B96" t="s">
        <v>108</v>
      </c>
      <c r="C96" t="s">
        <v>289</v>
      </c>
      <c r="D96">
        <v>482980</v>
      </c>
      <c r="E96" t="s">
        <v>330</v>
      </c>
      <c r="F96" t="s">
        <v>331</v>
      </c>
      <c r="G96" t="s">
        <v>112</v>
      </c>
      <c r="H96" t="s">
        <v>133</v>
      </c>
      <c r="I96" t="s">
        <v>123</v>
      </c>
      <c r="J96" t="s">
        <v>124</v>
      </c>
      <c r="K96" t="s">
        <v>116</v>
      </c>
      <c r="L96" t="s">
        <v>162</v>
      </c>
      <c r="M96" t="s">
        <v>118</v>
      </c>
      <c r="N96" t="s">
        <v>163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/>
      <c r="BL96" s="15"/>
      <c r="BM96" s="15"/>
      <c r="BN96" s="15"/>
      <c r="BO96" s="15"/>
      <c r="BP96" s="15"/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/>
      <c r="CH96" s="15"/>
      <c r="CI96" s="15">
        <v>0</v>
      </c>
      <c r="CJ96" s="15">
        <v>0</v>
      </c>
      <c r="CK96" s="15">
        <v>0</v>
      </c>
      <c r="CL96" s="21">
        <f>SUM(AE96,AR96,CI96)</f>
        <v>0</v>
      </c>
      <c r="CM96" s="21">
        <f>SUM(AF96,AS96,CJ96)</f>
        <v>0</v>
      </c>
      <c r="CN96" s="21">
        <f>SUM(AG96,AT96,CK96)</f>
        <v>0</v>
      </c>
    </row>
    <row r="97" spans="1:92" x14ac:dyDescent="0.3">
      <c r="A97" t="s">
        <v>0</v>
      </c>
      <c r="B97" t="s">
        <v>108</v>
      </c>
      <c r="C97" t="s">
        <v>332</v>
      </c>
      <c r="D97">
        <v>136531</v>
      </c>
      <c r="E97" t="s">
        <v>333</v>
      </c>
      <c r="F97" t="s">
        <v>334</v>
      </c>
      <c r="G97" t="s">
        <v>112</v>
      </c>
      <c r="H97" t="s">
        <v>217</v>
      </c>
      <c r="I97" t="s">
        <v>114</v>
      </c>
      <c r="J97" t="s">
        <v>115</v>
      </c>
      <c r="K97" t="s">
        <v>116</v>
      </c>
      <c r="L97" t="s">
        <v>162</v>
      </c>
      <c r="M97" t="s">
        <v>118</v>
      </c>
      <c r="N97" t="s">
        <v>163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2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2</v>
      </c>
      <c r="AC97" s="15">
        <v>0</v>
      </c>
      <c r="AD97" s="15">
        <v>0</v>
      </c>
      <c r="AE97" s="15">
        <v>0</v>
      </c>
      <c r="AF97" s="15">
        <v>4</v>
      </c>
      <c r="AG97" s="15">
        <v>4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/>
      <c r="BL97" s="15"/>
      <c r="BM97" s="15"/>
      <c r="BN97" s="15"/>
      <c r="BO97" s="15"/>
      <c r="BP97" s="15"/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5"/>
      <c r="CH97" s="15"/>
      <c r="CI97" s="15">
        <v>0</v>
      </c>
      <c r="CJ97" s="15">
        <v>0</v>
      </c>
      <c r="CK97" s="15">
        <v>0</v>
      </c>
      <c r="CL97" s="21">
        <f>SUM(AE97,AR97,CI97)</f>
        <v>0</v>
      </c>
      <c r="CM97" s="21">
        <f>SUM(AF97,AS97,CJ97)</f>
        <v>4</v>
      </c>
      <c r="CN97" s="21">
        <f>SUM(AG97,AT97,CK97)</f>
        <v>4</v>
      </c>
    </row>
    <row r="98" spans="1:92" x14ac:dyDescent="0.3">
      <c r="A98" t="s">
        <v>0</v>
      </c>
      <c r="B98" t="s">
        <v>108</v>
      </c>
      <c r="C98" t="s">
        <v>332</v>
      </c>
      <c r="D98">
        <v>136532</v>
      </c>
      <c r="E98" t="s">
        <v>335</v>
      </c>
      <c r="F98" t="s">
        <v>336</v>
      </c>
      <c r="G98" t="s">
        <v>112</v>
      </c>
      <c r="H98" t="s">
        <v>122</v>
      </c>
      <c r="I98" t="s">
        <v>114</v>
      </c>
      <c r="J98" t="s">
        <v>115</v>
      </c>
      <c r="K98" t="s">
        <v>116</v>
      </c>
      <c r="L98" t="s">
        <v>162</v>
      </c>
      <c r="M98" t="s">
        <v>118</v>
      </c>
      <c r="N98" t="s">
        <v>163</v>
      </c>
      <c r="O98" s="15">
        <v>0</v>
      </c>
      <c r="P98" s="15">
        <v>2</v>
      </c>
      <c r="Q98" s="15">
        <v>0</v>
      </c>
      <c r="R98" s="15">
        <v>1</v>
      </c>
      <c r="S98" s="15">
        <v>1</v>
      </c>
      <c r="T98" s="15">
        <v>0</v>
      </c>
      <c r="U98" s="15">
        <v>0</v>
      </c>
      <c r="V98" s="15">
        <v>0</v>
      </c>
      <c r="W98" s="15">
        <v>4</v>
      </c>
      <c r="X98" s="15">
        <v>4</v>
      </c>
      <c r="Y98" s="15">
        <v>5</v>
      </c>
      <c r="Z98" s="15">
        <v>4</v>
      </c>
      <c r="AA98" s="15">
        <v>0</v>
      </c>
      <c r="AB98" s="15">
        <v>0</v>
      </c>
      <c r="AC98" s="15">
        <v>0</v>
      </c>
      <c r="AD98" s="15">
        <v>0</v>
      </c>
      <c r="AE98" s="15">
        <v>10</v>
      </c>
      <c r="AF98" s="15">
        <v>11</v>
      </c>
      <c r="AG98" s="15">
        <v>21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/>
      <c r="BL98" s="15"/>
      <c r="BM98" s="15"/>
      <c r="BN98" s="15"/>
      <c r="BO98" s="15"/>
      <c r="BP98" s="15"/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/>
      <c r="CH98" s="15"/>
      <c r="CI98" s="15">
        <v>0</v>
      </c>
      <c r="CJ98" s="15">
        <v>0</v>
      </c>
      <c r="CK98" s="15">
        <v>0</v>
      </c>
      <c r="CL98" s="21">
        <f>SUM(AE98,AR98,CI98)</f>
        <v>10</v>
      </c>
      <c r="CM98" s="21">
        <f>SUM(AF98,AS98,CJ98)</f>
        <v>11</v>
      </c>
      <c r="CN98" s="21">
        <f>SUM(AG98,AT98,CK98)</f>
        <v>21</v>
      </c>
    </row>
    <row r="99" spans="1:92" x14ac:dyDescent="0.3">
      <c r="A99" t="s">
        <v>0</v>
      </c>
      <c r="B99" t="s">
        <v>108</v>
      </c>
      <c r="C99" t="s">
        <v>332</v>
      </c>
      <c r="D99">
        <v>136533</v>
      </c>
      <c r="E99" t="s">
        <v>337</v>
      </c>
      <c r="F99" t="s">
        <v>338</v>
      </c>
      <c r="G99" t="s">
        <v>112</v>
      </c>
      <c r="H99" t="s">
        <v>122</v>
      </c>
      <c r="I99" t="s">
        <v>114</v>
      </c>
      <c r="J99" t="s">
        <v>115</v>
      </c>
      <c r="K99" t="s">
        <v>116</v>
      </c>
      <c r="L99" t="s">
        <v>162</v>
      </c>
      <c r="M99" t="s">
        <v>118</v>
      </c>
      <c r="N99" t="s">
        <v>163</v>
      </c>
      <c r="O99" s="15">
        <v>0</v>
      </c>
      <c r="P99" s="15">
        <v>0</v>
      </c>
      <c r="Q99" s="15">
        <v>0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2</v>
      </c>
      <c r="Z99" s="15">
        <v>2</v>
      </c>
      <c r="AA99" s="15">
        <v>0</v>
      </c>
      <c r="AB99" s="15">
        <v>0</v>
      </c>
      <c r="AC99" s="15">
        <v>1</v>
      </c>
      <c r="AD99" s="15">
        <v>0</v>
      </c>
      <c r="AE99" s="15">
        <v>3</v>
      </c>
      <c r="AF99" s="15">
        <v>3</v>
      </c>
      <c r="AG99" s="15">
        <v>6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/>
      <c r="BL99" s="15"/>
      <c r="BM99" s="15"/>
      <c r="BN99" s="15"/>
      <c r="BO99" s="15"/>
      <c r="BP99" s="15"/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/>
      <c r="CH99" s="15"/>
      <c r="CI99" s="15">
        <v>0</v>
      </c>
      <c r="CJ99" s="15">
        <v>0</v>
      </c>
      <c r="CK99" s="15">
        <v>0</v>
      </c>
      <c r="CL99" s="21">
        <f>SUM(AE99,AR99,CI99)</f>
        <v>3</v>
      </c>
      <c r="CM99" s="21">
        <f>SUM(AF99,AS99,CJ99)</f>
        <v>3</v>
      </c>
      <c r="CN99" s="21">
        <f>SUM(AG99,AT99,CK99)</f>
        <v>6</v>
      </c>
    </row>
    <row r="100" spans="1:92" x14ac:dyDescent="0.3">
      <c r="A100" t="s">
        <v>0</v>
      </c>
      <c r="B100" t="s">
        <v>108</v>
      </c>
      <c r="C100" t="s">
        <v>332</v>
      </c>
      <c r="D100">
        <v>136534</v>
      </c>
      <c r="E100" t="s">
        <v>339</v>
      </c>
      <c r="F100" t="s">
        <v>340</v>
      </c>
      <c r="G100" t="s">
        <v>112</v>
      </c>
      <c r="H100" t="s">
        <v>129</v>
      </c>
      <c r="I100" t="s">
        <v>114</v>
      </c>
      <c r="J100" t="s">
        <v>115</v>
      </c>
      <c r="K100" t="s">
        <v>116</v>
      </c>
      <c r="L100" t="s">
        <v>162</v>
      </c>
      <c r="M100" t="s">
        <v>118</v>
      </c>
      <c r="N100" t="s">
        <v>163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1</v>
      </c>
      <c r="V100" s="15">
        <v>0</v>
      </c>
      <c r="W100" s="15">
        <v>0</v>
      </c>
      <c r="X100" s="15">
        <v>1</v>
      </c>
      <c r="Y100" s="15">
        <v>2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3</v>
      </c>
      <c r="AF100" s="15">
        <v>1</v>
      </c>
      <c r="AG100" s="15">
        <v>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/>
      <c r="BL100" s="15"/>
      <c r="BM100" s="15"/>
      <c r="BN100" s="15"/>
      <c r="BO100" s="15"/>
      <c r="BP100" s="15"/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/>
      <c r="CH100" s="15"/>
      <c r="CI100" s="15">
        <v>0</v>
      </c>
      <c r="CJ100" s="15">
        <v>0</v>
      </c>
      <c r="CK100" s="15">
        <v>0</v>
      </c>
      <c r="CL100" s="21">
        <f>SUM(AE100,AR100,CI100)</f>
        <v>3</v>
      </c>
      <c r="CM100" s="21">
        <f>SUM(AF100,AS100,CJ100)</f>
        <v>1</v>
      </c>
      <c r="CN100" s="21">
        <f>SUM(AG100,AT100,CK100)</f>
        <v>4</v>
      </c>
    </row>
    <row r="101" spans="1:92" x14ac:dyDescent="0.3">
      <c r="A101" t="s">
        <v>0</v>
      </c>
      <c r="B101" t="s">
        <v>108</v>
      </c>
      <c r="C101" t="s">
        <v>332</v>
      </c>
      <c r="D101">
        <v>136535</v>
      </c>
      <c r="E101" t="s">
        <v>341</v>
      </c>
      <c r="F101" t="s">
        <v>342</v>
      </c>
      <c r="G101" t="s">
        <v>112</v>
      </c>
      <c r="H101" t="s">
        <v>186</v>
      </c>
      <c r="I101" t="s">
        <v>114</v>
      </c>
      <c r="J101" t="s">
        <v>115</v>
      </c>
      <c r="K101" t="s">
        <v>116</v>
      </c>
      <c r="L101" t="s">
        <v>162</v>
      </c>
      <c r="M101" t="s">
        <v>118</v>
      </c>
      <c r="N101" t="s">
        <v>163</v>
      </c>
      <c r="O101" s="15">
        <v>0</v>
      </c>
      <c r="P101" s="15">
        <v>1</v>
      </c>
      <c r="Q101" s="15">
        <v>11</v>
      </c>
      <c r="R101" s="15">
        <v>6</v>
      </c>
      <c r="S101" s="15">
        <v>8</v>
      </c>
      <c r="T101" s="15">
        <v>4</v>
      </c>
      <c r="U101" s="15">
        <v>7</v>
      </c>
      <c r="V101" s="15">
        <v>10</v>
      </c>
      <c r="W101" s="15">
        <v>6</v>
      </c>
      <c r="X101" s="15">
        <v>6</v>
      </c>
      <c r="Y101" s="15">
        <v>17</v>
      </c>
      <c r="Z101" s="15">
        <v>16</v>
      </c>
      <c r="AA101" s="15">
        <v>32</v>
      </c>
      <c r="AB101" s="15">
        <v>30</v>
      </c>
      <c r="AC101" s="15">
        <v>0</v>
      </c>
      <c r="AD101" s="15">
        <v>0</v>
      </c>
      <c r="AE101" s="15">
        <v>81</v>
      </c>
      <c r="AF101" s="15">
        <v>73</v>
      </c>
      <c r="AG101" s="15">
        <v>154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/>
      <c r="BL101" s="15"/>
      <c r="BM101" s="15"/>
      <c r="BN101" s="15"/>
      <c r="BO101" s="15"/>
      <c r="BP101" s="15"/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/>
      <c r="CH101" s="15"/>
      <c r="CI101" s="15">
        <v>0</v>
      </c>
      <c r="CJ101" s="15">
        <v>0</v>
      </c>
      <c r="CK101" s="15">
        <v>0</v>
      </c>
      <c r="CL101" s="21">
        <f>SUM(AE101,AR101,CI101)</f>
        <v>81</v>
      </c>
      <c r="CM101" s="21">
        <f>SUM(AF101,AS101,CJ101)</f>
        <v>73</v>
      </c>
      <c r="CN101" s="21">
        <f>SUM(AG101,AT101,CK101)</f>
        <v>154</v>
      </c>
    </row>
    <row r="102" spans="1:92" x14ac:dyDescent="0.3">
      <c r="A102" t="s">
        <v>0</v>
      </c>
      <c r="B102" t="s">
        <v>108</v>
      </c>
      <c r="C102" t="s">
        <v>332</v>
      </c>
      <c r="D102">
        <v>136536</v>
      </c>
      <c r="E102" t="s">
        <v>343</v>
      </c>
      <c r="F102" t="s">
        <v>344</v>
      </c>
      <c r="G102" t="s">
        <v>112</v>
      </c>
      <c r="H102" t="s">
        <v>217</v>
      </c>
      <c r="I102" t="s">
        <v>114</v>
      </c>
      <c r="J102" t="s">
        <v>115</v>
      </c>
      <c r="K102" t="s">
        <v>116</v>
      </c>
      <c r="L102" t="s">
        <v>162</v>
      </c>
      <c r="M102" t="s">
        <v>118</v>
      </c>
      <c r="N102" t="s">
        <v>163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4</v>
      </c>
      <c r="X102" s="15">
        <v>3</v>
      </c>
      <c r="Y102" s="15">
        <v>0</v>
      </c>
      <c r="Z102" s="15">
        <v>0</v>
      </c>
      <c r="AA102" s="15">
        <v>8</v>
      </c>
      <c r="AB102" s="15">
        <v>6</v>
      </c>
      <c r="AC102" s="15">
        <v>0</v>
      </c>
      <c r="AD102" s="15">
        <v>0</v>
      </c>
      <c r="AE102" s="15">
        <v>12</v>
      </c>
      <c r="AF102" s="15">
        <v>9</v>
      </c>
      <c r="AG102" s="15">
        <v>21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/>
      <c r="BL102" s="15"/>
      <c r="BM102" s="15"/>
      <c r="BN102" s="15"/>
      <c r="BO102" s="15"/>
      <c r="BP102" s="15"/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/>
      <c r="CH102" s="15"/>
      <c r="CI102" s="15">
        <v>0</v>
      </c>
      <c r="CJ102" s="15">
        <v>0</v>
      </c>
      <c r="CK102" s="15">
        <v>0</v>
      </c>
      <c r="CL102" s="21">
        <f>SUM(AE102,AR102,CI102)</f>
        <v>12</v>
      </c>
      <c r="CM102" s="21">
        <f>SUM(AF102,AS102,CJ102)</f>
        <v>9</v>
      </c>
      <c r="CN102" s="21">
        <f>SUM(AG102,AT102,CK102)</f>
        <v>21</v>
      </c>
    </row>
    <row r="103" spans="1:92" x14ac:dyDescent="0.3">
      <c r="A103" t="s">
        <v>0</v>
      </c>
      <c r="B103" t="s">
        <v>108</v>
      </c>
      <c r="C103" t="s">
        <v>332</v>
      </c>
      <c r="D103">
        <v>136537</v>
      </c>
      <c r="E103" t="s">
        <v>345</v>
      </c>
      <c r="F103" t="s">
        <v>346</v>
      </c>
      <c r="G103" t="s">
        <v>112</v>
      </c>
      <c r="H103" t="s">
        <v>191</v>
      </c>
      <c r="I103" t="s">
        <v>114</v>
      </c>
      <c r="J103" t="s">
        <v>115</v>
      </c>
      <c r="K103" t="s">
        <v>116</v>
      </c>
      <c r="L103" t="s">
        <v>162</v>
      </c>
      <c r="M103" t="s">
        <v>118</v>
      </c>
      <c r="N103" t="s">
        <v>163</v>
      </c>
      <c r="O103" s="15">
        <v>6</v>
      </c>
      <c r="P103" s="15">
        <v>4</v>
      </c>
      <c r="Q103" s="15">
        <v>0</v>
      </c>
      <c r="R103" s="15">
        <v>0</v>
      </c>
      <c r="S103" s="15">
        <v>14</v>
      </c>
      <c r="T103" s="15">
        <v>6</v>
      </c>
      <c r="U103" s="15">
        <v>11</v>
      </c>
      <c r="V103" s="15">
        <v>14</v>
      </c>
      <c r="W103" s="15">
        <v>7</v>
      </c>
      <c r="X103" s="15">
        <v>10</v>
      </c>
      <c r="Y103" s="15">
        <v>4</v>
      </c>
      <c r="Z103" s="15">
        <v>1</v>
      </c>
      <c r="AA103" s="15">
        <v>17</v>
      </c>
      <c r="AB103" s="15">
        <v>19</v>
      </c>
      <c r="AC103" s="15">
        <v>0</v>
      </c>
      <c r="AD103" s="15">
        <v>0</v>
      </c>
      <c r="AE103" s="15">
        <v>59</v>
      </c>
      <c r="AF103" s="15">
        <v>54</v>
      </c>
      <c r="AG103" s="15">
        <v>113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/>
      <c r="BL103" s="15"/>
      <c r="BM103" s="15"/>
      <c r="BN103" s="15"/>
      <c r="BO103" s="15"/>
      <c r="BP103" s="15"/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/>
      <c r="CH103" s="15"/>
      <c r="CI103" s="15">
        <v>0</v>
      </c>
      <c r="CJ103" s="15">
        <v>0</v>
      </c>
      <c r="CK103" s="15">
        <v>0</v>
      </c>
      <c r="CL103" s="21">
        <f>SUM(AE103,AR103,CI103)</f>
        <v>59</v>
      </c>
      <c r="CM103" s="21">
        <f>SUM(AF103,AS103,CJ103)</f>
        <v>54</v>
      </c>
      <c r="CN103" s="21">
        <f>SUM(AG103,AT103,CK103)</f>
        <v>113</v>
      </c>
    </row>
    <row r="104" spans="1:92" x14ac:dyDescent="0.3">
      <c r="A104" t="s">
        <v>0</v>
      </c>
      <c r="B104" t="s">
        <v>108</v>
      </c>
      <c r="C104" t="s">
        <v>332</v>
      </c>
      <c r="D104">
        <v>136543</v>
      </c>
      <c r="E104" t="s">
        <v>347</v>
      </c>
      <c r="F104" t="s">
        <v>348</v>
      </c>
      <c r="G104" t="s">
        <v>112</v>
      </c>
      <c r="H104" t="s">
        <v>136</v>
      </c>
      <c r="I104" t="s">
        <v>114</v>
      </c>
      <c r="J104" t="s">
        <v>115</v>
      </c>
      <c r="K104" t="s">
        <v>116</v>
      </c>
      <c r="L104" t="s">
        <v>162</v>
      </c>
      <c r="M104" t="s">
        <v>118</v>
      </c>
      <c r="N104" t="s">
        <v>163</v>
      </c>
      <c r="O104" s="15">
        <v>5</v>
      </c>
      <c r="P104" s="15">
        <v>1</v>
      </c>
      <c r="Q104" s="15">
        <v>7</v>
      </c>
      <c r="R104" s="15">
        <v>2</v>
      </c>
      <c r="S104" s="15">
        <v>4</v>
      </c>
      <c r="T104" s="15">
        <v>8</v>
      </c>
      <c r="U104" s="15">
        <v>5</v>
      </c>
      <c r="V104" s="15">
        <v>9</v>
      </c>
      <c r="W104" s="15">
        <v>6</v>
      </c>
      <c r="X104" s="15">
        <v>0</v>
      </c>
      <c r="Y104" s="15">
        <v>12</v>
      </c>
      <c r="Z104" s="15">
        <v>9</v>
      </c>
      <c r="AA104" s="15">
        <v>10</v>
      </c>
      <c r="AB104" s="15">
        <v>17</v>
      </c>
      <c r="AC104" s="15">
        <v>0</v>
      </c>
      <c r="AD104" s="15">
        <v>0</v>
      </c>
      <c r="AE104" s="15">
        <v>49</v>
      </c>
      <c r="AF104" s="15">
        <v>46</v>
      </c>
      <c r="AG104" s="15">
        <v>95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/>
      <c r="BL104" s="15"/>
      <c r="BM104" s="15"/>
      <c r="BN104" s="15"/>
      <c r="BO104" s="15"/>
      <c r="BP104" s="15"/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/>
      <c r="CH104" s="15"/>
      <c r="CI104" s="15">
        <v>0</v>
      </c>
      <c r="CJ104" s="15">
        <v>0</v>
      </c>
      <c r="CK104" s="15">
        <v>0</v>
      </c>
      <c r="CL104" s="21">
        <f>SUM(AE104,AR104,CI104)</f>
        <v>49</v>
      </c>
      <c r="CM104" s="21">
        <f>SUM(AF104,AS104,CJ104)</f>
        <v>46</v>
      </c>
      <c r="CN104" s="21">
        <f>SUM(AG104,AT104,CK104)</f>
        <v>95</v>
      </c>
    </row>
    <row r="105" spans="1:92" x14ac:dyDescent="0.3">
      <c r="A105" t="s">
        <v>0</v>
      </c>
      <c r="B105" t="s">
        <v>108</v>
      </c>
      <c r="C105" t="s">
        <v>332</v>
      </c>
      <c r="D105">
        <v>222501</v>
      </c>
      <c r="E105" t="s">
        <v>349</v>
      </c>
      <c r="F105" t="s">
        <v>350</v>
      </c>
      <c r="G105" t="s">
        <v>112</v>
      </c>
      <c r="H105" t="s">
        <v>351</v>
      </c>
      <c r="I105" t="s">
        <v>114</v>
      </c>
      <c r="J105" t="s">
        <v>115</v>
      </c>
      <c r="K105" t="s">
        <v>116</v>
      </c>
      <c r="L105" t="s">
        <v>162</v>
      </c>
      <c r="M105" t="s">
        <v>118</v>
      </c>
      <c r="N105" t="s">
        <v>163</v>
      </c>
      <c r="O105" s="15">
        <v>1</v>
      </c>
      <c r="P105" s="15">
        <v>0</v>
      </c>
      <c r="Q105" s="15">
        <v>0</v>
      </c>
      <c r="R105" s="15">
        <v>0</v>
      </c>
      <c r="S105" s="15">
        <v>2</v>
      </c>
      <c r="T105" s="15">
        <v>4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2</v>
      </c>
      <c r="AB105" s="15">
        <v>0</v>
      </c>
      <c r="AC105" s="15">
        <v>0</v>
      </c>
      <c r="AD105" s="15">
        <v>0</v>
      </c>
      <c r="AE105" s="15">
        <v>5</v>
      </c>
      <c r="AF105" s="15">
        <v>4</v>
      </c>
      <c r="AG105" s="15">
        <v>9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/>
      <c r="BL105" s="15"/>
      <c r="BM105" s="15"/>
      <c r="BN105" s="15"/>
      <c r="BO105" s="15"/>
      <c r="BP105" s="15"/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/>
      <c r="CH105" s="15"/>
      <c r="CI105" s="15">
        <v>0</v>
      </c>
      <c r="CJ105" s="15">
        <v>0</v>
      </c>
      <c r="CK105" s="15">
        <v>0</v>
      </c>
      <c r="CL105" s="21">
        <f>SUM(AE105,AR105,CI105)</f>
        <v>5</v>
      </c>
      <c r="CM105" s="21">
        <f>SUM(AF105,AS105,CJ105)</f>
        <v>4</v>
      </c>
      <c r="CN105" s="21">
        <f>SUM(AG105,AT105,CK105)</f>
        <v>9</v>
      </c>
    </row>
    <row r="106" spans="1:92" x14ac:dyDescent="0.3">
      <c r="A106" t="s">
        <v>0</v>
      </c>
      <c r="B106" t="s">
        <v>108</v>
      </c>
      <c r="C106" t="s">
        <v>332</v>
      </c>
      <c r="D106">
        <v>305635</v>
      </c>
      <c r="E106" t="s">
        <v>352</v>
      </c>
      <c r="F106" t="s">
        <v>353</v>
      </c>
      <c r="G106" t="s">
        <v>112</v>
      </c>
      <c r="H106" t="s">
        <v>136</v>
      </c>
      <c r="I106" t="s">
        <v>114</v>
      </c>
      <c r="J106" t="s">
        <v>115</v>
      </c>
      <c r="K106" t="s">
        <v>116</v>
      </c>
      <c r="L106" t="s">
        <v>187</v>
      </c>
      <c r="M106" t="s">
        <v>118</v>
      </c>
      <c r="N106" t="s">
        <v>188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1</v>
      </c>
      <c r="AM106" s="15">
        <v>2</v>
      </c>
      <c r="AN106" s="15">
        <v>0</v>
      </c>
      <c r="AO106" s="15">
        <v>0</v>
      </c>
      <c r="AP106" s="15">
        <v>0</v>
      </c>
      <c r="AQ106" s="15">
        <v>0</v>
      </c>
      <c r="AR106" s="15">
        <v>1</v>
      </c>
      <c r="AS106" s="15">
        <v>2</v>
      </c>
      <c r="AT106" s="15">
        <v>3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/>
      <c r="BL106" s="15"/>
      <c r="BM106" s="15"/>
      <c r="BN106" s="15"/>
      <c r="BO106" s="15"/>
      <c r="BP106" s="15"/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/>
      <c r="CH106" s="15"/>
      <c r="CI106" s="15">
        <v>0</v>
      </c>
      <c r="CJ106" s="15">
        <v>0</v>
      </c>
      <c r="CK106" s="15">
        <v>0</v>
      </c>
      <c r="CL106" s="21">
        <f>SUM(AE106,AR106,CI106)</f>
        <v>1</v>
      </c>
      <c r="CM106" s="21">
        <f>SUM(AF106,AS106,CJ106)</f>
        <v>2</v>
      </c>
      <c r="CN106" s="21">
        <f>SUM(AG106,AT106,CK106)</f>
        <v>3</v>
      </c>
    </row>
    <row r="107" spans="1:92" x14ac:dyDescent="0.3">
      <c r="A107" t="s">
        <v>0</v>
      </c>
      <c r="B107" t="s">
        <v>108</v>
      </c>
      <c r="C107" t="s">
        <v>332</v>
      </c>
      <c r="D107">
        <v>406492</v>
      </c>
      <c r="E107" t="s">
        <v>354</v>
      </c>
      <c r="F107" t="s">
        <v>355</v>
      </c>
      <c r="G107" t="s">
        <v>112</v>
      </c>
      <c r="H107" t="s">
        <v>122</v>
      </c>
      <c r="I107" t="s">
        <v>123</v>
      </c>
      <c r="J107" t="s">
        <v>124</v>
      </c>
      <c r="K107" t="s">
        <v>116</v>
      </c>
      <c r="L107" t="s">
        <v>150</v>
      </c>
      <c r="M107" t="s">
        <v>118</v>
      </c>
      <c r="N107" t="s">
        <v>151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/>
      <c r="BL107" s="15"/>
      <c r="BM107" s="15"/>
      <c r="BN107" s="15"/>
      <c r="BO107" s="15"/>
      <c r="BP107" s="15"/>
      <c r="BQ107" s="15">
        <v>0</v>
      </c>
      <c r="BR107" s="15">
        <v>0</v>
      </c>
      <c r="BS107" s="15">
        <v>0</v>
      </c>
      <c r="BT107" s="15">
        <v>0</v>
      </c>
      <c r="BU107" s="15">
        <v>1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/>
      <c r="CH107" s="15"/>
      <c r="CI107" s="15">
        <v>1</v>
      </c>
      <c r="CJ107" s="15">
        <v>0</v>
      </c>
      <c r="CK107" s="15">
        <v>1</v>
      </c>
      <c r="CL107" s="21">
        <f>SUM(AE107,AR107,CI107)</f>
        <v>1</v>
      </c>
      <c r="CM107" s="21">
        <f>SUM(AF107,AS107,CJ107)</f>
        <v>0</v>
      </c>
      <c r="CN107" s="21">
        <f>SUM(AG107,AT107,CK107)</f>
        <v>1</v>
      </c>
    </row>
    <row r="108" spans="1:92" x14ac:dyDescent="0.3">
      <c r="A108" t="s">
        <v>0</v>
      </c>
      <c r="B108" t="s">
        <v>108</v>
      </c>
      <c r="C108" t="s">
        <v>332</v>
      </c>
      <c r="D108">
        <v>408390</v>
      </c>
      <c r="E108" t="s">
        <v>356</v>
      </c>
      <c r="F108" t="s">
        <v>357</v>
      </c>
      <c r="G108" t="s">
        <v>112</v>
      </c>
      <c r="H108" t="s">
        <v>136</v>
      </c>
      <c r="I108" t="s">
        <v>123</v>
      </c>
      <c r="J108" t="s">
        <v>124</v>
      </c>
      <c r="K108" t="s">
        <v>116</v>
      </c>
      <c r="L108" t="s">
        <v>162</v>
      </c>
      <c r="M108" t="s">
        <v>118</v>
      </c>
      <c r="N108" t="s">
        <v>163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/>
      <c r="BL108" s="15"/>
      <c r="BM108" s="15"/>
      <c r="BN108" s="15"/>
      <c r="BO108" s="15"/>
      <c r="BP108" s="15"/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/>
      <c r="CH108" s="15"/>
      <c r="CI108" s="15">
        <v>0</v>
      </c>
      <c r="CJ108" s="15">
        <v>0</v>
      </c>
      <c r="CK108" s="15">
        <v>0</v>
      </c>
      <c r="CL108" s="21">
        <f>SUM(AE108,AR108,CI108)</f>
        <v>0</v>
      </c>
      <c r="CM108" s="21">
        <f>SUM(AF108,AS108,CJ108)</f>
        <v>0</v>
      </c>
      <c r="CN108" s="21">
        <f>SUM(AG108,AT108,CK108)</f>
        <v>0</v>
      </c>
    </row>
    <row r="109" spans="1:92" x14ac:dyDescent="0.3">
      <c r="A109" t="s">
        <v>0</v>
      </c>
      <c r="B109" t="s">
        <v>108</v>
      </c>
      <c r="C109" t="s">
        <v>332</v>
      </c>
      <c r="D109">
        <v>408616</v>
      </c>
      <c r="E109" t="s">
        <v>358</v>
      </c>
      <c r="F109" t="s">
        <v>359</v>
      </c>
      <c r="G109" t="s">
        <v>112</v>
      </c>
      <c r="H109" t="s">
        <v>186</v>
      </c>
      <c r="I109" t="s">
        <v>123</v>
      </c>
      <c r="J109" t="s">
        <v>124</v>
      </c>
      <c r="K109" t="s">
        <v>116</v>
      </c>
      <c r="L109" t="s">
        <v>214</v>
      </c>
      <c r="M109" t="s">
        <v>118</v>
      </c>
      <c r="N109" t="s">
        <v>163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/>
      <c r="BL109" s="15"/>
      <c r="BM109" s="15"/>
      <c r="BN109" s="15"/>
      <c r="BO109" s="15"/>
      <c r="BP109" s="15"/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/>
      <c r="CH109" s="15"/>
      <c r="CI109" s="15">
        <v>0</v>
      </c>
      <c r="CJ109" s="15">
        <v>0</v>
      </c>
      <c r="CK109" s="15">
        <v>0</v>
      </c>
      <c r="CL109" s="21">
        <f>SUM(AE109,AR109,CI109)</f>
        <v>0</v>
      </c>
      <c r="CM109" s="21">
        <f>SUM(AF109,AS109,CJ109)</f>
        <v>0</v>
      </c>
      <c r="CN109" s="21">
        <f>SUM(AG109,AT109,CK109)</f>
        <v>0</v>
      </c>
    </row>
    <row r="110" spans="1:92" x14ac:dyDescent="0.3">
      <c r="A110" t="s">
        <v>0</v>
      </c>
      <c r="B110" t="s">
        <v>108</v>
      </c>
      <c r="C110" t="s">
        <v>332</v>
      </c>
      <c r="D110">
        <v>408783</v>
      </c>
      <c r="E110" t="s">
        <v>360</v>
      </c>
      <c r="F110" t="s">
        <v>361</v>
      </c>
      <c r="G110" t="s">
        <v>112</v>
      </c>
      <c r="H110" t="s">
        <v>136</v>
      </c>
      <c r="I110" t="s">
        <v>123</v>
      </c>
      <c r="J110" t="s">
        <v>124</v>
      </c>
      <c r="K110" t="s">
        <v>116</v>
      </c>
      <c r="L110" t="s">
        <v>214</v>
      </c>
      <c r="M110" t="s">
        <v>118</v>
      </c>
      <c r="N110" t="s">
        <v>163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/>
      <c r="BL110" s="15"/>
      <c r="BM110" s="15"/>
      <c r="BN110" s="15"/>
      <c r="BO110" s="15"/>
      <c r="BP110" s="15"/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/>
      <c r="CH110" s="15"/>
      <c r="CI110" s="15">
        <v>0</v>
      </c>
      <c r="CJ110" s="15">
        <v>0</v>
      </c>
      <c r="CK110" s="15">
        <v>0</v>
      </c>
      <c r="CL110" s="21">
        <f>SUM(AE110,AR110,CI110)</f>
        <v>0</v>
      </c>
      <c r="CM110" s="21">
        <f>SUM(AF110,AS110,CJ110)</f>
        <v>0</v>
      </c>
      <c r="CN110" s="21">
        <f>SUM(AG110,AT110,CK110)</f>
        <v>0</v>
      </c>
    </row>
    <row r="111" spans="1:92" x14ac:dyDescent="0.3">
      <c r="A111" t="s">
        <v>0</v>
      </c>
      <c r="B111" t="s">
        <v>108</v>
      </c>
      <c r="C111" t="s">
        <v>332</v>
      </c>
      <c r="D111">
        <v>408809</v>
      </c>
      <c r="E111" t="s">
        <v>362</v>
      </c>
      <c r="F111" t="s">
        <v>363</v>
      </c>
      <c r="G111" t="s">
        <v>112</v>
      </c>
      <c r="H111" t="s">
        <v>136</v>
      </c>
      <c r="I111" t="s">
        <v>123</v>
      </c>
      <c r="J111" t="s">
        <v>124</v>
      </c>
      <c r="K111" t="s">
        <v>116</v>
      </c>
      <c r="L111" t="s">
        <v>156</v>
      </c>
      <c r="M111" t="s">
        <v>118</v>
      </c>
      <c r="N111" t="s">
        <v>157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/>
      <c r="BL111" s="15"/>
      <c r="BM111" s="15"/>
      <c r="BN111" s="15"/>
      <c r="BO111" s="15"/>
      <c r="BP111" s="15"/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5"/>
      <c r="CH111" s="15"/>
      <c r="CI111" s="15">
        <v>0</v>
      </c>
      <c r="CJ111" s="15">
        <v>0</v>
      </c>
      <c r="CK111" s="15">
        <v>0</v>
      </c>
      <c r="CL111" s="21">
        <f>SUM(AE111,AR111,CI111)</f>
        <v>0</v>
      </c>
      <c r="CM111" s="21">
        <f>SUM(AF111,AS111,CJ111)</f>
        <v>0</v>
      </c>
      <c r="CN111" s="21">
        <f>SUM(AG111,AT111,CK111)</f>
        <v>0</v>
      </c>
    </row>
    <row r="112" spans="1:92" x14ac:dyDescent="0.3">
      <c r="A112" t="s">
        <v>0</v>
      </c>
      <c r="B112" t="s">
        <v>108</v>
      </c>
      <c r="C112" t="s">
        <v>332</v>
      </c>
      <c r="D112">
        <v>408851</v>
      </c>
      <c r="E112" t="s">
        <v>364</v>
      </c>
      <c r="F112" t="s">
        <v>365</v>
      </c>
      <c r="G112" t="s">
        <v>112</v>
      </c>
      <c r="H112" t="s">
        <v>122</v>
      </c>
      <c r="I112" t="s">
        <v>123</v>
      </c>
      <c r="J112" t="s">
        <v>124</v>
      </c>
      <c r="K112" t="s">
        <v>116</v>
      </c>
      <c r="L112" t="s">
        <v>125</v>
      </c>
      <c r="M112" t="s">
        <v>118</v>
      </c>
      <c r="N112" t="s">
        <v>126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/>
      <c r="BL112" s="15"/>
      <c r="BM112" s="15"/>
      <c r="BN112" s="15"/>
      <c r="BO112" s="15"/>
      <c r="BP112" s="15"/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/>
      <c r="CH112" s="15"/>
      <c r="CI112" s="15">
        <v>0</v>
      </c>
      <c r="CJ112" s="15">
        <v>0</v>
      </c>
      <c r="CK112" s="15">
        <v>0</v>
      </c>
      <c r="CL112" s="21">
        <f>SUM(AE112,AR112,CI112)</f>
        <v>0</v>
      </c>
      <c r="CM112" s="21">
        <f>SUM(AF112,AS112,CJ112)</f>
        <v>0</v>
      </c>
      <c r="CN112" s="21">
        <f>SUM(AG112,AT112,CK112)</f>
        <v>0</v>
      </c>
    </row>
    <row r="113" spans="1:92" x14ac:dyDescent="0.3">
      <c r="A113" t="s">
        <v>0</v>
      </c>
      <c r="B113" t="s">
        <v>108</v>
      </c>
      <c r="C113" t="s">
        <v>332</v>
      </c>
      <c r="D113">
        <v>409734</v>
      </c>
      <c r="E113" t="s">
        <v>366</v>
      </c>
      <c r="F113" t="s">
        <v>367</v>
      </c>
      <c r="G113" t="s">
        <v>112</v>
      </c>
      <c r="H113" t="s">
        <v>186</v>
      </c>
      <c r="I113" t="s">
        <v>123</v>
      </c>
      <c r="J113" t="s">
        <v>124</v>
      </c>
      <c r="K113" t="s">
        <v>116</v>
      </c>
      <c r="L113" t="s">
        <v>125</v>
      </c>
      <c r="M113" t="s">
        <v>118</v>
      </c>
      <c r="N113" t="s">
        <v>126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/>
      <c r="BL113" s="15"/>
      <c r="BM113" s="15"/>
      <c r="BN113" s="15"/>
      <c r="BO113" s="15"/>
      <c r="BP113" s="15"/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/>
      <c r="CH113" s="15"/>
      <c r="CI113" s="15">
        <v>0</v>
      </c>
      <c r="CJ113" s="15">
        <v>0</v>
      </c>
      <c r="CK113" s="15">
        <v>0</v>
      </c>
      <c r="CL113" s="21">
        <f>SUM(AE113,AR113,CI113)</f>
        <v>0</v>
      </c>
      <c r="CM113" s="21">
        <f>SUM(AF113,AS113,CJ113)</f>
        <v>0</v>
      </c>
      <c r="CN113" s="21">
        <f>SUM(AG113,AT113,CK113)</f>
        <v>0</v>
      </c>
    </row>
    <row r="114" spans="1:92" x14ac:dyDescent="0.3">
      <c r="A114" t="s">
        <v>0</v>
      </c>
      <c r="B114" t="s">
        <v>108</v>
      </c>
      <c r="C114" t="s">
        <v>332</v>
      </c>
      <c r="D114">
        <v>409888</v>
      </c>
      <c r="E114" t="s">
        <v>368</v>
      </c>
      <c r="F114" t="s">
        <v>369</v>
      </c>
      <c r="G114" t="s">
        <v>112</v>
      </c>
      <c r="H114" t="s">
        <v>136</v>
      </c>
      <c r="I114" t="s">
        <v>123</v>
      </c>
      <c r="J114" t="s">
        <v>124</v>
      </c>
      <c r="K114" t="s">
        <v>116</v>
      </c>
      <c r="L114" t="s">
        <v>162</v>
      </c>
      <c r="M114" t="s">
        <v>118</v>
      </c>
      <c r="N114" t="s">
        <v>163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/>
      <c r="BL114" s="15"/>
      <c r="BM114" s="15"/>
      <c r="BN114" s="15"/>
      <c r="BO114" s="15"/>
      <c r="BP114" s="15"/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0</v>
      </c>
      <c r="CE114" s="15">
        <v>0</v>
      </c>
      <c r="CF114" s="15">
        <v>0</v>
      </c>
      <c r="CG114" s="15"/>
      <c r="CH114" s="15"/>
      <c r="CI114" s="15">
        <v>0</v>
      </c>
      <c r="CJ114" s="15">
        <v>0</v>
      </c>
      <c r="CK114" s="15">
        <v>0</v>
      </c>
      <c r="CL114" s="21">
        <f>SUM(AE114,AR114,CI114)</f>
        <v>0</v>
      </c>
      <c r="CM114" s="21">
        <f>SUM(AF114,AS114,CJ114)</f>
        <v>0</v>
      </c>
      <c r="CN114" s="21">
        <f>SUM(AG114,AT114,CK114)</f>
        <v>0</v>
      </c>
    </row>
    <row r="115" spans="1:92" x14ac:dyDescent="0.3">
      <c r="A115" t="s">
        <v>0</v>
      </c>
      <c r="B115" t="s">
        <v>108</v>
      </c>
      <c r="C115" t="s">
        <v>332</v>
      </c>
      <c r="D115">
        <v>482685</v>
      </c>
      <c r="E115" t="s">
        <v>370</v>
      </c>
      <c r="F115" t="s">
        <v>371</v>
      </c>
      <c r="G115" t="s">
        <v>112</v>
      </c>
      <c r="H115" t="s">
        <v>129</v>
      </c>
      <c r="I115" t="s">
        <v>123</v>
      </c>
      <c r="J115" t="s">
        <v>124</v>
      </c>
      <c r="K115" t="s">
        <v>116</v>
      </c>
      <c r="L115" t="s">
        <v>162</v>
      </c>
      <c r="M115" t="s">
        <v>118</v>
      </c>
      <c r="N115" t="s">
        <v>163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/>
      <c r="BL115" s="15"/>
      <c r="BM115" s="15"/>
      <c r="BN115" s="15"/>
      <c r="BO115" s="15"/>
      <c r="BP115" s="15"/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/>
      <c r="CH115" s="15"/>
      <c r="CI115" s="15">
        <v>0</v>
      </c>
      <c r="CJ115" s="15">
        <v>0</v>
      </c>
      <c r="CK115" s="15">
        <v>0</v>
      </c>
      <c r="CL115" s="21">
        <f>SUM(AE115,AR115,CI115)</f>
        <v>0</v>
      </c>
      <c r="CM115" s="21">
        <f>SUM(AF115,AS115,CJ115)</f>
        <v>0</v>
      </c>
      <c r="CN115" s="21">
        <f>SUM(AG115,AT115,CK115)</f>
        <v>0</v>
      </c>
    </row>
    <row r="116" spans="1:92" x14ac:dyDescent="0.3">
      <c r="A116" t="s">
        <v>0</v>
      </c>
      <c r="B116" t="s">
        <v>108</v>
      </c>
      <c r="C116" t="s">
        <v>332</v>
      </c>
      <c r="D116">
        <v>482701</v>
      </c>
      <c r="E116" t="s">
        <v>372</v>
      </c>
      <c r="F116" t="s">
        <v>373</v>
      </c>
      <c r="G116" t="s">
        <v>112</v>
      </c>
      <c r="H116" t="s">
        <v>136</v>
      </c>
      <c r="I116" t="s">
        <v>123</v>
      </c>
      <c r="J116" t="s">
        <v>124</v>
      </c>
      <c r="K116" t="s">
        <v>116</v>
      </c>
      <c r="L116" t="s">
        <v>214</v>
      </c>
      <c r="M116" t="s">
        <v>118</v>
      </c>
      <c r="N116" t="s">
        <v>163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/>
      <c r="BL116" s="15"/>
      <c r="BM116" s="15"/>
      <c r="BN116" s="15"/>
      <c r="BO116" s="15"/>
      <c r="BP116" s="15"/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/>
      <c r="CH116" s="15"/>
      <c r="CI116" s="15">
        <v>0</v>
      </c>
      <c r="CJ116" s="15">
        <v>0</v>
      </c>
      <c r="CK116" s="15">
        <v>0</v>
      </c>
      <c r="CL116" s="21">
        <f>SUM(AE116,AR116,CI116)</f>
        <v>0</v>
      </c>
      <c r="CM116" s="21">
        <f>SUM(AF116,AS116,CJ116)</f>
        <v>0</v>
      </c>
      <c r="CN116" s="21">
        <f>SUM(AG116,AT116,CK116)</f>
        <v>0</v>
      </c>
    </row>
    <row r="117" spans="1:92" x14ac:dyDescent="0.3">
      <c r="A117" t="s">
        <v>0</v>
      </c>
      <c r="B117" t="s">
        <v>108</v>
      </c>
      <c r="C117" t="s">
        <v>332</v>
      </c>
      <c r="D117">
        <v>482709</v>
      </c>
      <c r="E117" t="s">
        <v>374</v>
      </c>
      <c r="F117" t="s">
        <v>375</v>
      </c>
      <c r="G117" t="s">
        <v>112</v>
      </c>
      <c r="H117" t="s">
        <v>147</v>
      </c>
      <c r="I117" t="s">
        <v>123</v>
      </c>
      <c r="J117" t="s">
        <v>124</v>
      </c>
      <c r="K117" t="s">
        <v>116</v>
      </c>
      <c r="L117" t="s">
        <v>150</v>
      </c>
      <c r="M117" t="s">
        <v>118</v>
      </c>
      <c r="N117" t="s">
        <v>151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/>
      <c r="BL117" s="15"/>
      <c r="BM117" s="15"/>
      <c r="BN117" s="15"/>
      <c r="BO117" s="15"/>
      <c r="BP117" s="15"/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/>
      <c r="CH117" s="15"/>
      <c r="CI117" s="15">
        <v>0</v>
      </c>
      <c r="CJ117" s="15">
        <v>0</v>
      </c>
      <c r="CK117" s="15">
        <v>0</v>
      </c>
      <c r="CL117" s="21">
        <f>SUM(AE117,AR117,CI117)</f>
        <v>0</v>
      </c>
      <c r="CM117" s="21">
        <f>SUM(AF117,AS117,CJ117)</f>
        <v>0</v>
      </c>
      <c r="CN117" s="21">
        <f>SUM(AG117,AT117,CK117)</f>
        <v>0</v>
      </c>
    </row>
    <row r="118" spans="1:92" x14ac:dyDescent="0.3">
      <c r="A118" t="s">
        <v>0</v>
      </c>
      <c r="B118" t="s">
        <v>108</v>
      </c>
      <c r="C118" t="s">
        <v>332</v>
      </c>
      <c r="D118">
        <v>482716</v>
      </c>
      <c r="E118" t="s">
        <v>376</v>
      </c>
      <c r="F118" t="s">
        <v>377</v>
      </c>
      <c r="G118" t="s">
        <v>112</v>
      </c>
      <c r="H118" t="s">
        <v>129</v>
      </c>
      <c r="I118" t="s">
        <v>123</v>
      </c>
      <c r="J118" t="s">
        <v>124</v>
      </c>
      <c r="K118" t="s">
        <v>116</v>
      </c>
      <c r="L118" t="s">
        <v>150</v>
      </c>
      <c r="M118" t="s">
        <v>118</v>
      </c>
      <c r="N118" t="s">
        <v>151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/>
      <c r="BL118" s="15"/>
      <c r="BM118" s="15"/>
      <c r="BN118" s="15"/>
      <c r="BO118" s="15"/>
      <c r="BP118" s="15"/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/>
      <c r="CH118" s="15"/>
      <c r="CI118" s="15">
        <v>0</v>
      </c>
      <c r="CJ118" s="15">
        <v>0</v>
      </c>
      <c r="CK118" s="15">
        <v>0</v>
      </c>
      <c r="CL118" s="21">
        <f>SUM(AE118,AR118,CI118)</f>
        <v>0</v>
      </c>
      <c r="CM118" s="21">
        <f>SUM(AF118,AS118,CJ118)</f>
        <v>0</v>
      </c>
      <c r="CN118" s="21">
        <f>SUM(AG118,AT118,CK118)</f>
        <v>0</v>
      </c>
    </row>
    <row r="119" spans="1:92" x14ac:dyDescent="0.3">
      <c r="A119" t="s">
        <v>0</v>
      </c>
      <c r="B119" t="s">
        <v>108</v>
      </c>
      <c r="C119" t="s">
        <v>332</v>
      </c>
      <c r="D119">
        <v>482885</v>
      </c>
      <c r="E119" t="s">
        <v>378</v>
      </c>
      <c r="F119" t="s">
        <v>379</v>
      </c>
      <c r="G119" t="s">
        <v>112</v>
      </c>
      <c r="H119" t="s">
        <v>136</v>
      </c>
      <c r="I119" t="s">
        <v>123</v>
      </c>
      <c r="J119" t="s">
        <v>124</v>
      </c>
      <c r="K119" t="s">
        <v>116</v>
      </c>
      <c r="L119" t="s">
        <v>162</v>
      </c>
      <c r="M119" t="s">
        <v>118</v>
      </c>
      <c r="N119" t="s">
        <v>163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/>
      <c r="BL119" s="15"/>
      <c r="BM119" s="15"/>
      <c r="BN119" s="15"/>
      <c r="BO119" s="15"/>
      <c r="BP119" s="15"/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/>
      <c r="CH119" s="15"/>
      <c r="CI119" s="15">
        <v>0</v>
      </c>
      <c r="CJ119" s="15">
        <v>0</v>
      </c>
      <c r="CK119" s="15">
        <v>0</v>
      </c>
      <c r="CL119" s="21">
        <f>SUM(AE119,AR119,CI119)</f>
        <v>0</v>
      </c>
      <c r="CM119" s="21">
        <f>SUM(AF119,AS119,CJ119)</f>
        <v>0</v>
      </c>
      <c r="CN119" s="21">
        <f>SUM(AG119,AT119,CK119)</f>
        <v>0</v>
      </c>
    </row>
    <row r="120" spans="1:92" x14ac:dyDescent="0.3">
      <c r="A120" t="s">
        <v>0</v>
      </c>
      <c r="B120" t="s">
        <v>108</v>
      </c>
      <c r="C120" t="s">
        <v>332</v>
      </c>
      <c r="D120">
        <v>482891</v>
      </c>
      <c r="E120" t="s">
        <v>380</v>
      </c>
      <c r="F120" t="s">
        <v>381</v>
      </c>
      <c r="G120" t="s">
        <v>112</v>
      </c>
      <c r="H120" t="s">
        <v>191</v>
      </c>
      <c r="I120" t="s">
        <v>123</v>
      </c>
      <c r="J120" t="s">
        <v>124</v>
      </c>
      <c r="K120" t="s">
        <v>116</v>
      </c>
      <c r="L120" t="s">
        <v>162</v>
      </c>
      <c r="M120" t="s">
        <v>118</v>
      </c>
      <c r="N120" t="s">
        <v>163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/>
      <c r="BL120" s="15"/>
      <c r="BM120" s="15"/>
      <c r="BN120" s="15"/>
      <c r="BO120" s="15"/>
      <c r="BP120" s="15"/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/>
      <c r="CH120" s="15"/>
      <c r="CI120" s="15">
        <v>0</v>
      </c>
      <c r="CJ120" s="15">
        <v>0</v>
      </c>
      <c r="CK120" s="15">
        <v>0</v>
      </c>
      <c r="CL120" s="21">
        <f>SUM(AE120,AR120,CI120)</f>
        <v>0</v>
      </c>
      <c r="CM120" s="21">
        <f>SUM(AF120,AS120,CJ120)</f>
        <v>0</v>
      </c>
      <c r="CN120" s="21">
        <f>SUM(AG120,AT120,CK120)</f>
        <v>0</v>
      </c>
    </row>
    <row r="121" spans="1:92" x14ac:dyDescent="0.3">
      <c r="A121" t="s">
        <v>0</v>
      </c>
      <c r="B121" t="s">
        <v>108</v>
      </c>
      <c r="C121" t="s">
        <v>332</v>
      </c>
      <c r="D121">
        <v>482906</v>
      </c>
      <c r="E121" t="s">
        <v>382</v>
      </c>
      <c r="F121" t="s">
        <v>383</v>
      </c>
      <c r="G121" t="s">
        <v>112</v>
      </c>
      <c r="H121" t="s">
        <v>136</v>
      </c>
      <c r="I121" t="s">
        <v>123</v>
      </c>
      <c r="J121" t="s">
        <v>124</v>
      </c>
      <c r="K121" t="s">
        <v>116</v>
      </c>
      <c r="L121" t="s">
        <v>162</v>
      </c>
      <c r="M121" t="s">
        <v>118</v>
      </c>
      <c r="N121" t="s">
        <v>163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/>
      <c r="BL121" s="15"/>
      <c r="BM121" s="15"/>
      <c r="BN121" s="15"/>
      <c r="BO121" s="15"/>
      <c r="BP121" s="15"/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/>
      <c r="CH121" s="15"/>
      <c r="CI121" s="15">
        <v>0</v>
      </c>
      <c r="CJ121" s="15">
        <v>0</v>
      </c>
      <c r="CK121" s="15">
        <v>0</v>
      </c>
      <c r="CL121" s="21">
        <f>SUM(AE121,AR121,CI121)</f>
        <v>0</v>
      </c>
      <c r="CM121" s="21">
        <f>SUM(AF121,AS121,CJ121)</f>
        <v>0</v>
      </c>
      <c r="CN121" s="21">
        <f>SUM(AG121,AT121,CK121)</f>
        <v>0</v>
      </c>
    </row>
    <row r="122" spans="1:92" x14ac:dyDescent="0.3">
      <c r="A122" t="s">
        <v>0</v>
      </c>
      <c r="B122" t="s">
        <v>108</v>
      </c>
      <c r="C122" t="s">
        <v>332</v>
      </c>
      <c r="D122">
        <v>482934</v>
      </c>
      <c r="E122" t="s">
        <v>384</v>
      </c>
      <c r="F122" t="s">
        <v>385</v>
      </c>
      <c r="G122" t="s">
        <v>112</v>
      </c>
      <c r="H122" t="s">
        <v>186</v>
      </c>
      <c r="I122" t="s">
        <v>123</v>
      </c>
      <c r="J122" t="s">
        <v>124</v>
      </c>
      <c r="K122" t="s">
        <v>116</v>
      </c>
      <c r="L122" t="s">
        <v>214</v>
      </c>
      <c r="M122" t="s">
        <v>118</v>
      </c>
      <c r="N122" t="s">
        <v>163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/>
      <c r="BL122" s="15"/>
      <c r="BM122" s="15"/>
      <c r="BN122" s="15"/>
      <c r="BO122" s="15"/>
      <c r="BP122" s="15"/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0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/>
      <c r="CH122" s="15"/>
      <c r="CI122" s="15">
        <v>0</v>
      </c>
      <c r="CJ122" s="15">
        <v>0</v>
      </c>
      <c r="CK122" s="15">
        <v>0</v>
      </c>
      <c r="CL122" s="21">
        <f>SUM(AE122,AR122,CI122)</f>
        <v>0</v>
      </c>
      <c r="CM122" s="21">
        <f>SUM(AF122,AS122,CJ122)</f>
        <v>0</v>
      </c>
      <c r="CN122" s="21">
        <f>SUM(AG122,AT122,CK122)</f>
        <v>0</v>
      </c>
    </row>
    <row r="123" spans="1:92" x14ac:dyDescent="0.3">
      <c r="A123" t="s">
        <v>0</v>
      </c>
      <c r="B123" t="s">
        <v>108</v>
      </c>
      <c r="C123" t="s">
        <v>332</v>
      </c>
      <c r="D123">
        <v>482935</v>
      </c>
      <c r="E123" t="s">
        <v>386</v>
      </c>
      <c r="F123" t="s">
        <v>387</v>
      </c>
      <c r="G123" t="s">
        <v>112</v>
      </c>
      <c r="H123" t="s">
        <v>122</v>
      </c>
      <c r="I123" t="s">
        <v>123</v>
      </c>
      <c r="J123" t="s">
        <v>124</v>
      </c>
      <c r="K123" t="s">
        <v>116</v>
      </c>
      <c r="L123" t="s">
        <v>162</v>
      </c>
      <c r="M123" t="s">
        <v>118</v>
      </c>
      <c r="N123" t="s">
        <v>163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/>
      <c r="BL123" s="15"/>
      <c r="BM123" s="15"/>
      <c r="BN123" s="15"/>
      <c r="BO123" s="15"/>
      <c r="BP123" s="15"/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5"/>
      <c r="CH123" s="15"/>
      <c r="CI123" s="15">
        <v>0</v>
      </c>
      <c r="CJ123" s="15">
        <v>0</v>
      </c>
      <c r="CK123" s="15">
        <v>0</v>
      </c>
      <c r="CL123" s="21">
        <f>SUM(AE123,AR123,CI123)</f>
        <v>0</v>
      </c>
      <c r="CM123" s="21">
        <f>SUM(AF123,AS123,CJ123)</f>
        <v>0</v>
      </c>
      <c r="CN123" s="21">
        <f>SUM(AG123,AT123,CK123)</f>
        <v>0</v>
      </c>
    </row>
    <row r="124" spans="1:92" x14ac:dyDescent="0.3">
      <c r="A124" t="s">
        <v>0</v>
      </c>
      <c r="B124" t="s">
        <v>108</v>
      </c>
      <c r="C124" t="s">
        <v>332</v>
      </c>
      <c r="D124">
        <v>482949</v>
      </c>
      <c r="E124" t="s">
        <v>388</v>
      </c>
      <c r="F124" t="s">
        <v>389</v>
      </c>
      <c r="G124" t="s">
        <v>112</v>
      </c>
      <c r="H124" t="s">
        <v>217</v>
      </c>
      <c r="I124" t="s">
        <v>123</v>
      </c>
      <c r="J124" t="s">
        <v>124</v>
      </c>
      <c r="K124" t="s">
        <v>116</v>
      </c>
      <c r="L124" t="s">
        <v>214</v>
      </c>
      <c r="M124" t="s">
        <v>118</v>
      </c>
      <c r="N124" t="s">
        <v>163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/>
      <c r="BL124" s="15"/>
      <c r="BM124" s="15"/>
      <c r="BN124" s="15"/>
      <c r="BO124" s="15"/>
      <c r="BP124" s="15"/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0</v>
      </c>
      <c r="CG124" s="15"/>
      <c r="CH124" s="15"/>
      <c r="CI124" s="15">
        <v>0</v>
      </c>
      <c r="CJ124" s="15">
        <v>0</v>
      </c>
      <c r="CK124" s="15">
        <v>0</v>
      </c>
      <c r="CL124" s="21">
        <f>SUM(AE124,AR124,CI124)</f>
        <v>0</v>
      </c>
      <c r="CM124" s="21">
        <f>SUM(AF124,AS124,CJ124)</f>
        <v>0</v>
      </c>
      <c r="CN124" s="21">
        <f>SUM(AG124,AT124,CK124)</f>
        <v>0</v>
      </c>
    </row>
    <row r="125" spans="1:92" x14ac:dyDescent="0.3">
      <c r="A125" t="s">
        <v>0</v>
      </c>
      <c r="B125" t="s">
        <v>108</v>
      </c>
      <c r="C125" t="s">
        <v>332</v>
      </c>
      <c r="D125">
        <v>482971</v>
      </c>
      <c r="E125" t="s">
        <v>390</v>
      </c>
      <c r="F125" t="s">
        <v>391</v>
      </c>
      <c r="G125" t="s">
        <v>112</v>
      </c>
      <c r="H125" t="s">
        <v>136</v>
      </c>
      <c r="I125" t="s">
        <v>123</v>
      </c>
      <c r="J125" t="s">
        <v>124</v>
      </c>
      <c r="K125" t="s">
        <v>116</v>
      </c>
      <c r="L125" t="s">
        <v>150</v>
      </c>
      <c r="M125" t="s">
        <v>118</v>
      </c>
      <c r="N125" t="s">
        <v>151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/>
      <c r="BL125" s="15"/>
      <c r="BM125" s="15"/>
      <c r="BN125" s="15"/>
      <c r="BO125" s="15"/>
      <c r="BP125" s="15"/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/>
      <c r="CH125" s="15"/>
      <c r="CI125" s="15">
        <v>0</v>
      </c>
      <c r="CJ125" s="15">
        <v>0</v>
      </c>
      <c r="CK125" s="15">
        <v>0</v>
      </c>
      <c r="CL125" s="21">
        <f>SUM(AE125,AR125,CI125)</f>
        <v>0</v>
      </c>
      <c r="CM125" s="21">
        <f>SUM(AF125,AS125,CJ125)</f>
        <v>0</v>
      </c>
      <c r="CN125" s="21">
        <f>SUM(AG125,AT125,CK125)</f>
        <v>0</v>
      </c>
    </row>
    <row r="126" spans="1:92" x14ac:dyDescent="0.3">
      <c r="A126" t="s">
        <v>0</v>
      </c>
      <c r="B126" t="s">
        <v>108</v>
      </c>
      <c r="C126" t="s">
        <v>332</v>
      </c>
      <c r="D126">
        <v>482987</v>
      </c>
      <c r="E126" t="s">
        <v>392</v>
      </c>
      <c r="F126" t="s">
        <v>393</v>
      </c>
      <c r="G126" t="s">
        <v>112</v>
      </c>
      <c r="H126" t="s">
        <v>191</v>
      </c>
      <c r="I126" t="s">
        <v>123</v>
      </c>
      <c r="J126" t="s">
        <v>124</v>
      </c>
      <c r="K126" t="s">
        <v>116</v>
      </c>
      <c r="L126" t="s">
        <v>117</v>
      </c>
      <c r="M126" t="s">
        <v>118</v>
      </c>
      <c r="N126" t="s">
        <v>119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/>
      <c r="BL126" s="15"/>
      <c r="BM126" s="15"/>
      <c r="BN126" s="15"/>
      <c r="BO126" s="15"/>
      <c r="BP126" s="15"/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/>
      <c r="CH126" s="15"/>
      <c r="CI126" s="15">
        <v>0</v>
      </c>
      <c r="CJ126" s="15">
        <v>0</v>
      </c>
      <c r="CK126" s="15">
        <v>0</v>
      </c>
      <c r="CL126" s="21">
        <f>SUM(AE126,AR126,CI126)</f>
        <v>0</v>
      </c>
      <c r="CM126" s="21">
        <f>SUM(AF126,AS126,CJ126)</f>
        <v>0</v>
      </c>
      <c r="CN126" s="21">
        <f>SUM(AG126,AT126,CK126)</f>
        <v>0</v>
      </c>
    </row>
    <row r="127" spans="1:92" x14ac:dyDescent="0.3">
      <c r="A127" t="s">
        <v>0</v>
      </c>
      <c r="B127" t="s">
        <v>108</v>
      </c>
      <c r="C127" t="s">
        <v>394</v>
      </c>
      <c r="D127">
        <v>360867</v>
      </c>
      <c r="E127" t="s">
        <v>395</v>
      </c>
      <c r="F127" t="s">
        <v>338</v>
      </c>
      <c r="G127" t="s">
        <v>112</v>
      </c>
      <c r="H127" t="s">
        <v>122</v>
      </c>
      <c r="I127" t="s">
        <v>114</v>
      </c>
      <c r="J127" t="s">
        <v>115</v>
      </c>
      <c r="K127" t="s">
        <v>116</v>
      </c>
      <c r="L127" t="s">
        <v>117</v>
      </c>
      <c r="M127" t="s">
        <v>118</v>
      </c>
      <c r="N127" t="s">
        <v>119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1</v>
      </c>
      <c r="AI127" s="15">
        <v>1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1</v>
      </c>
      <c r="AS127" s="15">
        <v>1</v>
      </c>
      <c r="AT127" s="15">
        <v>2</v>
      </c>
      <c r="AU127" s="15">
        <v>0</v>
      </c>
      <c r="AV127" s="15">
        <v>2</v>
      </c>
      <c r="AW127" s="15">
        <v>3</v>
      </c>
      <c r="AX127" s="15">
        <v>2</v>
      </c>
      <c r="AY127" s="15">
        <v>1</v>
      </c>
      <c r="AZ127" s="15">
        <v>0</v>
      </c>
      <c r="BA127" s="15">
        <v>2</v>
      </c>
      <c r="BB127" s="15">
        <v>1</v>
      </c>
      <c r="BC127" s="15">
        <v>0</v>
      </c>
      <c r="BD127" s="15">
        <v>0</v>
      </c>
      <c r="BE127" s="15">
        <v>5</v>
      </c>
      <c r="BF127" s="15">
        <v>2</v>
      </c>
      <c r="BG127" s="15">
        <v>0</v>
      </c>
      <c r="BH127" s="15">
        <v>0</v>
      </c>
      <c r="BI127" s="15">
        <v>0</v>
      </c>
      <c r="BJ127" s="15">
        <v>0</v>
      </c>
      <c r="BK127" s="15"/>
      <c r="BL127" s="15"/>
      <c r="BM127" s="15"/>
      <c r="BN127" s="15"/>
      <c r="BO127" s="15"/>
      <c r="BP127" s="15"/>
      <c r="BQ127" s="15">
        <v>0</v>
      </c>
      <c r="BR127" s="15">
        <v>0</v>
      </c>
      <c r="BS127" s="15">
        <v>0</v>
      </c>
      <c r="BT127" s="15">
        <v>3</v>
      </c>
      <c r="BU127" s="15">
        <v>0</v>
      </c>
      <c r="BV127" s="15">
        <v>0</v>
      </c>
      <c r="BW127" s="15">
        <v>1</v>
      </c>
      <c r="BX127" s="15">
        <v>0</v>
      </c>
      <c r="BY127" s="15">
        <v>0</v>
      </c>
      <c r="BZ127" s="15">
        <v>0</v>
      </c>
      <c r="CA127" s="15">
        <v>2</v>
      </c>
      <c r="CB127" s="15">
        <v>3</v>
      </c>
      <c r="CC127" s="15">
        <v>0</v>
      </c>
      <c r="CD127" s="15">
        <v>0</v>
      </c>
      <c r="CE127" s="15">
        <v>0</v>
      </c>
      <c r="CF127" s="15">
        <v>0</v>
      </c>
      <c r="CG127" s="15"/>
      <c r="CH127" s="15"/>
      <c r="CI127" s="15">
        <v>14</v>
      </c>
      <c r="CJ127" s="15">
        <v>13</v>
      </c>
      <c r="CK127" s="15">
        <v>27</v>
      </c>
      <c r="CL127" s="21">
        <f>SUM(AE127,AR127,CI127)</f>
        <v>15</v>
      </c>
      <c r="CM127" s="21">
        <f>SUM(AF127,AS127,CJ127)</f>
        <v>14</v>
      </c>
      <c r="CN127" s="21">
        <f>SUM(AG127,AT127,CK127)</f>
        <v>29</v>
      </c>
    </row>
    <row r="128" spans="1:92" x14ac:dyDescent="0.3">
      <c r="A128" t="s">
        <v>0</v>
      </c>
      <c r="B128" t="s">
        <v>108</v>
      </c>
      <c r="C128" t="s">
        <v>394</v>
      </c>
      <c r="D128">
        <v>401443</v>
      </c>
      <c r="E128" t="s">
        <v>396</v>
      </c>
      <c r="F128" t="s">
        <v>397</v>
      </c>
      <c r="G128" t="s">
        <v>112</v>
      </c>
      <c r="H128" t="s">
        <v>129</v>
      </c>
      <c r="I128" t="s">
        <v>123</v>
      </c>
      <c r="J128" t="s">
        <v>124</v>
      </c>
      <c r="K128" t="s">
        <v>116</v>
      </c>
      <c r="L128" t="s">
        <v>125</v>
      </c>
      <c r="M128" t="s">
        <v>118</v>
      </c>
      <c r="N128" t="s">
        <v>126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/>
      <c r="BL128" s="15"/>
      <c r="BM128" s="15"/>
      <c r="BN128" s="15"/>
      <c r="BO128" s="15"/>
      <c r="BP128" s="15"/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/>
      <c r="CH128" s="15"/>
      <c r="CI128" s="15">
        <v>0</v>
      </c>
      <c r="CJ128" s="15">
        <v>0</v>
      </c>
      <c r="CK128" s="15">
        <v>0</v>
      </c>
      <c r="CL128" s="21">
        <f>SUM(AE128,AR128,CI128)</f>
        <v>0</v>
      </c>
      <c r="CM128" s="21">
        <f>SUM(AF128,AS128,CJ128)</f>
        <v>0</v>
      </c>
      <c r="CN128" s="21">
        <f>SUM(AG128,AT128,CK128)</f>
        <v>0</v>
      </c>
    </row>
    <row r="129" spans="1:92" x14ac:dyDescent="0.3">
      <c r="A129" t="s">
        <v>0</v>
      </c>
      <c r="B129" t="s">
        <v>108</v>
      </c>
      <c r="C129" t="s">
        <v>394</v>
      </c>
      <c r="D129">
        <v>406423</v>
      </c>
      <c r="E129" t="s">
        <v>398</v>
      </c>
      <c r="F129" t="s">
        <v>399</v>
      </c>
      <c r="G129" t="s">
        <v>112</v>
      </c>
      <c r="H129" t="s">
        <v>129</v>
      </c>
      <c r="I129" t="s">
        <v>123</v>
      </c>
      <c r="J129" t="s">
        <v>124</v>
      </c>
      <c r="K129" t="s">
        <v>116</v>
      </c>
      <c r="L129" t="s">
        <v>125</v>
      </c>
      <c r="M129" t="s">
        <v>118</v>
      </c>
      <c r="N129" t="s">
        <v>126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/>
      <c r="BL129" s="15"/>
      <c r="BM129" s="15"/>
      <c r="BN129" s="15"/>
      <c r="BO129" s="15"/>
      <c r="BP129" s="15"/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/>
      <c r="CH129" s="15"/>
      <c r="CI129" s="15">
        <v>0</v>
      </c>
      <c r="CJ129" s="15">
        <v>0</v>
      </c>
      <c r="CK129" s="15">
        <v>0</v>
      </c>
      <c r="CL129" s="21">
        <f>SUM(AE129,AR129,CI129)</f>
        <v>0</v>
      </c>
      <c r="CM129" s="21">
        <f>SUM(AF129,AS129,CJ129)</f>
        <v>0</v>
      </c>
      <c r="CN129" s="21">
        <f>SUM(AG129,AT129,CK129)</f>
        <v>0</v>
      </c>
    </row>
    <row r="130" spans="1:92" x14ac:dyDescent="0.3">
      <c r="A130" s="16" t="s">
        <v>403</v>
      </c>
      <c r="B130" t="s">
        <v>108</v>
      </c>
      <c r="C130" t="s">
        <v>109</v>
      </c>
      <c r="D130">
        <v>340690</v>
      </c>
      <c r="E130" t="s">
        <v>110</v>
      </c>
      <c r="F130" t="s">
        <v>111</v>
      </c>
      <c r="G130" t="s">
        <v>112</v>
      </c>
      <c r="H130" t="s">
        <v>113</v>
      </c>
      <c r="I130" t="s">
        <v>114</v>
      </c>
      <c r="J130" t="s">
        <v>115</v>
      </c>
      <c r="K130" t="s">
        <v>116</v>
      </c>
      <c r="L130" t="s">
        <v>117</v>
      </c>
      <c r="M130" t="s">
        <v>118</v>
      </c>
      <c r="N130" t="s">
        <v>119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s="15">
        <v>0</v>
      </c>
      <c r="AF130" s="15">
        <v>0</v>
      </c>
      <c r="AG130" s="15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15">
        <v>0</v>
      </c>
      <c r="AS130" s="15">
        <v>0</v>
      </c>
      <c r="AT130" s="15">
        <v>0</v>
      </c>
      <c r="AU130">
        <v>0</v>
      </c>
      <c r="AV130">
        <v>0</v>
      </c>
      <c r="AW130">
        <v>10</v>
      </c>
      <c r="AX130">
        <v>7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3</v>
      </c>
      <c r="BG130">
        <v>0</v>
      </c>
      <c r="BH130">
        <v>0</v>
      </c>
      <c r="BI130">
        <v>0</v>
      </c>
      <c r="BJ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1</v>
      </c>
      <c r="CC130">
        <v>0</v>
      </c>
      <c r="CD130">
        <v>0</v>
      </c>
      <c r="CE130">
        <v>0</v>
      </c>
      <c r="CF130">
        <v>0</v>
      </c>
      <c r="CI130" s="15">
        <v>13</v>
      </c>
      <c r="CJ130" s="15">
        <v>11</v>
      </c>
      <c r="CK130" s="15">
        <v>24</v>
      </c>
      <c r="CL130" s="21">
        <f>SUM(AE130,AR130,CI130)</f>
        <v>13</v>
      </c>
      <c r="CM130" s="21">
        <f>SUM(AF130,AS130,CJ130)</f>
        <v>11</v>
      </c>
      <c r="CN130" s="21">
        <f>SUM(AG130,AT130,CK130)</f>
        <v>24</v>
      </c>
    </row>
    <row r="131" spans="1:92" x14ac:dyDescent="0.3">
      <c r="A131" s="16" t="s">
        <v>403</v>
      </c>
      <c r="B131" t="s">
        <v>108</v>
      </c>
      <c r="C131" t="s">
        <v>109</v>
      </c>
      <c r="D131">
        <v>401453</v>
      </c>
      <c r="E131" t="s">
        <v>120</v>
      </c>
      <c r="F131" t="s">
        <v>121</v>
      </c>
      <c r="G131" t="s">
        <v>112</v>
      </c>
      <c r="H131" t="s">
        <v>122</v>
      </c>
      <c r="I131" t="s">
        <v>123</v>
      </c>
      <c r="J131" t="s">
        <v>124</v>
      </c>
      <c r="K131" t="s">
        <v>116</v>
      </c>
      <c r="L131" t="s">
        <v>125</v>
      </c>
      <c r="M131" t="s">
        <v>118</v>
      </c>
      <c r="N131" t="s">
        <v>126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15">
        <v>0</v>
      </c>
      <c r="AF131" s="15">
        <v>0</v>
      </c>
      <c r="AG131" s="15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15">
        <v>0</v>
      </c>
      <c r="AS131" s="15">
        <v>0</v>
      </c>
      <c r="AT131" s="15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I131" s="15">
        <v>0</v>
      </c>
      <c r="CJ131" s="15">
        <v>0</v>
      </c>
      <c r="CK131" s="15">
        <v>0</v>
      </c>
      <c r="CL131" s="21">
        <f>SUM(AE131,AR131,CI131)</f>
        <v>0</v>
      </c>
      <c r="CM131" s="21">
        <f>SUM(AF131,AS131,CJ131)</f>
        <v>0</v>
      </c>
      <c r="CN131" s="21">
        <f>SUM(AG131,AT131,CK131)</f>
        <v>0</v>
      </c>
    </row>
    <row r="132" spans="1:92" x14ac:dyDescent="0.3">
      <c r="A132" s="16" t="s">
        <v>403</v>
      </c>
      <c r="B132" t="s">
        <v>108</v>
      </c>
      <c r="C132" t="s">
        <v>109</v>
      </c>
      <c r="D132">
        <v>401495</v>
      </c>
      <c r="E132" t="s">
        <v>127</v>
      </c>
      <c r="F132" t="s">
        <v>128</v>
      </c>
      <c r="G132" t="s">
        <v>112</v>
      </c>
      <c r="H132" t="s">
        <v>129</v>
      </c>
      <c r="I132" t="s">
        <v>123</v>
      </c>
      <c r="J132" t="s">
        <v>130</v>
      </c>
      <c r="K132" t="s">
        <v>116</v>
      </c>
      <c r="L132" t="s">
        <v>125</v>
      </c>
      <c r="M132" t="s">
        <v>118</v>
      </c>
      <c r="N132" t="s">
        <v>126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15">
        <v>0</v>
      </c>
      <c r="AF132" s="15">
        <v>0</v>
      </c>
      <c r="AG132" s="15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15">
        <v>0</v>
      </c>
      <c r="AS132" s="15">
        <v>0</v>
      </c>
      <c r="AT132" s="15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I132" s="15">
        <v>0</v>
      </c>
      <c r="CJ132" s="15">
        <v>0</v>
      </c>
      <c r="CK132" s="15">
        <v>0</v>
      </c>
      <c r="CL132" s="21">
        <f>SUM(AE132,AR132,CI132)</f>
        <v>0</v>
      </c>
      <c r="CM132" s="21">
        <f>SUM(AF132,AS132,CJ132)</f>
        <v>0</v>
      </c>
      <c r="CN132" s="21">
        <f>SUM(AG132,AT132,CK132)</f>
        <v>0</v>
      </c>
    </row>
    <row r="133" spans="1:92" x14ac:dyDescent="0.3">
      <c r="A133" s="16" t="s">
        <v>403</v>
      </c>
      <c r="B133" t="s">
        <v>108</v>
      </c>
      <c r="C133" t="s">
        <v>109</v>
      </c>
      <c r="D133">
        <v>401500</v>
      </c>
      <c r="E133" t="s">
        <v>131</v>
      </c>
      <c r="F133" t="s">
        <v>132</v>
      </c>
      <c r="G133" t="s">
        <v>112</v>
      </c>
      <c r="H133" t="s">
        <v>133</v>
      </c>
      <c r="I133" t="s">
        <v>123</v>
      </c>
      <c r="J133" t="s">
        <v>130</v>
      </c>
      <c r="K133" t="s">
        <v>116</v>
      </c>
      <c r="L133" t="s">
        <v>125</v>
      </c>
      <c r="M133" t="s">
        <v>118</v>
      </c>
      <c r="N133" t="s">
        <v>126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15">
        <v>0</v>
      </c>
      <c r="AF133" s="15">
        <v>0</v>
      </c>
      <c r="AG133" s="15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15">
        <v>0</v>
      </c>
      <c r="AS133" s="15">
        <v>0</v>
      </c>
      <c r="AT133" s="15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I133" s="15">
        <v>0</v>
      </c>
      <c r="CJ133" s="15">
        <v>0</v>
      </c>
      <c r="CK133" s="15">
        <v>0</v>
      </c>
      <c r="CL133" s="21">
        <f>SUM(AE133,AR133,CI133)</f>
        <v>0</v>
      </c>
      <c r="CM133" s="21">
        <f>SUM(AF133,AS133,CJ133)</f>
        <v>0</v>
      </c>
      <c r="CN133" s="21">
        <f>SUM(AG133,AT133,CK133)</f>
        <v>0</v>
      </c>
    </row>
    <row r="134" spans="1:92" x14ac:dyDescent="0.3">
      <c r="A134" s="16" t="s">
        <v>403</v>
      </c>
      <c r="B134" t="s">
        <v>108</v>
      </c>
      <c r="C134" t="s">
        <v>109</v>
      </c>
      <c r="D134">
        <v>409925</v>
      </c>
      <c r="E134" t="s">
        <v>134</v>
      </c>
      <c r="F134" t="s">
        <v>135</v>
      </c>
      <c r="G134" t="s">
        <v>112</v>
      </c>
      <c r="H134" t="s">
        <v>136</v>
      </c>
      <c r="I134" t="s">
        <v>123</v>
      </c>
      <c r="J134" t="s">
        <v>124</v>
      </c>
      <c r="K134" t="s">
        <v>116</v>
      </c>
      <c r="L134" t="s">
        <v>125</v>
      </c>
      <c r="M134" t="s">
        <v>118</v>
      </c>
      <c r="N134" t="s">
        <v>126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15">
        <v>0</v>
      </c>
      <c r="AF134" s="15">
        <v>0</v>
      </c>
      <c r="AG134" s="15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15">
        <v>0</v>
      </c>
      <c r="AS134" s="15">
        <v>0</v>
      </c>
      <c r="AT134" s="15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I134" s="15">
        <v>0</v>
      </c>
      <c r="CJ134" s="15">
        <v>0</v>
      </c>
      <c r="CK134" s="15">
        <v>0</v>
      </c>
      <c r="CL134" s="21">
        <f>SUM(AE134,AR134,CI134)</f>
        <v>0</v>
      </c>
      <c r="CM134" s="21">
        <f>SUM(AF134,AS134,CJ134)</f>
        <v>0</v>
      </c>
      <c r="CN134" s="21">
        <f>SUM(AG134,AT134,CK134)</f>
        <v>0</v>
      </c>
    </row>
    <row r="135" spans="1:92" x14ac:dyDescent="0.3">
      <c r="A135" s="16" t="s">
        <v>403</v>
      </c>
      <c r="B135" t="s">
        <v>108</v>
      </c>
      <c r="C135" t="s">
        <v>109</v>
      </c>
      <c r="D135">
        <v>409926</v>
      </c>
      <c r="E135" t="s">
        <v>134</v>
      </c>
      <c r="F135" t="s">
        <v>137</v>
      </c>
      <c r="G135" t="s">
        <v>112</v>
      </c>
      <c r="H135" t="s">
        <v>138</v>
      </c>
      <c r="I135" t="s">
        <v>123</v>
      </c>
      <c r="J135" t="s">
        <v>124</v>
      </c>
      <c r="K135" t="s">
        <v>116</v>
      </c>
      <c r="L135" t="s">
        <v>125</v>
      </c>
      <c r="M135" t="s">
        <v>118</v>
      </c>
      <c r="N135" t="s">
        <v>126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15">
        <v>0</v>
      </c>
      <c r="AF135" s="15">
        <v>0</v>
      </c>
      <c r="AG135" s="1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15">
        <v>0</v>
      </c>
      <c r="AS135" s="15">
        <v>0</v>
      </c>
      <c r="AT135" s="1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I135" s="15">
        <v>0</v>
      </c>
      <c r="CJ135" s="15">
        <v>0</v>
      </c>
      <c r="CK135" s="15">
        <v>0</v>
      </c>
      <c r="CL135" s="21">
        <f>SUM(AE135,AR135,CI135)</f>
        <v>0</v>
      </c>
      <c r="CM135" s="21">
        <f>SUM(AF135,AS135,CJ135)</f>
        <v>0</v>
      </c>
      <c r="CN135" s="21">
        <f>SUM(AG135,AT135,CK135)</f>
        <v>0</v>
      </c>
    </row>
    <row r="136" spans="1:92" x14ac:dyDescent="0.3">
      <c r="A136" s="16" t="s">
        <v>403</v>
      </c>
      <c r="B136" t="s">
        <v>108</v>
      </c>
      <c r="C136" t="s">
        <v>109</v>
      </c>
      <c r="D136">
        <v>410227</v>
      </c>
      <c r="E136" t="s">
        <v>139</v>
      </c>
      <c r="F136" t="s">
        <v>404</v>
      </c>
      <c r="G136" t="s">
        <v>112</v>
      </c>
      <c r="H136" t="s">
        <v>129</v>
      </c>
      <c r="I136" t="s">
        <v>123</v>
      </c>
      <c r="J136" t="s">
        <v>124</v>
      </c>
      <c r="K136" t="s">
        <v>116</v>
      </c>
      <c r="L136" t="s">
        <v>125</v>
      </c>
      <c r="M136" t="s">
        <v>118</v>
      </c>
      <c r="N136" t="s">
        <v>126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s="15">
        <v>0</v>
      </c>
      <c r="AF136" s="15">
        <v>0</v>
      </c>
      <c r="AG136" s="15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15">
        <v>0</v>
      </c>
      <c r="AS136" s="15">
        <v>0</v>
      </c>
      <c r="AT136" s="15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I136" s="15">
        <v>0</v>
      </c>
      <c r="CJ136" s="15">
        <v>0</v>
      </c>
      <c r="CK136" s="15">
        <v>0</v>
      </c>
      <c r="CL136" s="21">
        <f>SUM(AE136,AR136,CI136)</f>
        <v>0</v>
      </c>
      <c r="CM136" s="21">
        <f>SUM(AF136,AS136,CJ136)</f>
        <v>0</v>
      </c>
      <c r="CN136" s="21">
        <f>SUM(AG136,AT136,CK136)</f>
        <v>0</v>
      </c>
    </row>
    <row r="137" spans="1:92" x14ac:dyDescent="0.3">
      <c r="A137" s="16" t="s">
        <v>403</v>
      </c>
      <c r="B137" t="s">
        <v>108</v>
      </c>
      <c r="C137" t="s">
        <v>405</v>
      </c>
      <c r="D137">
        <v>410465</v>
      </c>
      <c r="E137" t="s">
        <v>406</v>
      </c>
      <c r="F137" t="s">
        <v>407</v>
      </c>
      <c r="G137" t="s">
        <v>112</v>
      </c>
      <c r="H137" t="s">
        <v>129</v>
      </c>
      <c r="I137" t="s">
        <v>123</v>
      </c>
      <c r="J137" t="s">
        <v>124</v>
      </c>
      <c r="K137" t="s">
        <v>116</v>
      </c>
      <c r="L137" t="s">
        <v>125</v>
      </c>
      <c r="M137" t="s">
        <v>118</v>
      </c>
      <c r="N137" t="s">
        <v>126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s="15">
        <v>0</v>
      </c>
      <c r="AF137" s="15">
        <v>0</v>
      </c>
      <c r="AG137" s="15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15">
        <v>0</v>
      </c>
      <c r="AS137" s="15">
        <v>0</v>
      </c>
      <c r="AT137" s="15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I137" s="15">
        <v>0</v>
      </c>
      <c r="CJ137" s="15">
        <v>0</v>
      </c>
      <c r="CK137" s="15">
        <v>0</v>
      </c>
      <c r="CL137" s="21">
        <f>SUM(AE137,AR137,CI137)</f>
        <v>0</v>
      </c>
      <c r="CM137" s="21">
        <f>SUM(AF137,AS137,CJ137)</f>
        <v>0</v>
      </c>
      <c r="CN137" s="21">
        <f>SUM(AG137,AT137,CK137)</f>
        <v>0</v>
      </c>
    </row>
    <row r="138" spans="1:92" x14ac:dyDescent="0.3">
      <c r="A138" s="16" t="s">
        <v>403</v>
      </c>
      <c r="B138" t="s">
        <v>108</v>
      </c>
      <c r="C138" t="s">
        <v>141</v>
      </c>
      <c r="D138">
        <v>406537</v>
      </c>
      <c r="E138" t="s">
        <v>142</v>
      </c>
      <c r="F138" t="s">
        <v>143</v>
      </c>
      <c r="G138" t="s">
        <v>112</v>
      </c>
      <c r="H138" t="s">
        <v>122</v>
      </c>
      <c r="I138" t="s">
        <v>123</v>
      </c>
      <c r="J138" t="s">
        <v>130</v>
      </c>
      <c r="K138" t="s">
        <v>116</v>
      </c>
      <c r="L138" t="s">
        <v>125</v>
      </c>
      <c r="M138" t="s">
        <v>118</v>
      </c>
      <c r="N138" t="s">
        <v>126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s="15">
        <v>0</v>
      </c>
      <c r="AF138" s="15">
        <v>0</v>
      </c>
      <c r="AG138" s="15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15">
        <v>0</v>
      </c>
      <c r="AS138" s="15">
        <v>0</v>
      </c>
      <c r="AT138" s="15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I138" s="15">
        <v>0</v>
      </c>
      <c r="CJ138" s="15">
        <v>0</v>
      </c>
      <c r="CK138" s="15">
        <v>0</v>
      </c>
      <c r="CL138" s="21">
        <f>SUM(AE138,AR138,CI138)</f>
        <v>0</v>
      </c>
      <c r="CM138" s="21">
        <f>SUM(AF138,AS138,CJ138)</f>
        <v>0</v>
      </c>
      <c r="CN138" s="21">
        <f>SUM(AG138,AT138,CK138)</f>
        <v>0</v>
      </c>
    </row>
    <row r="139" spans="1:92" x14ac:dyDescent="0.3">
      <c r="A139" s="16" t="s">
        <v>403</v>
      </c>
      <c r="B139" t="s">
        <v>108</v>
      </c>
      <c r="C139" t="s">
        <v>144</v>
      </c>
      <c r="D139">
        <v>305341</v>
      </c>
      <c r="E139" t="s">
        <v>145</v>
      </c>
      <c r="F139" t="s">
        <v>146</v>
      </c>
      <c r="G139" t="s">
        <v>112</v>
      </c>
      <c r="H139" t="s">
        <v>147</v>
      </c>
      <c r="I139" t="s">
        <v>114</v>
      </c>
      <c r="J139" t="s">
        <v>115</v>
      </c>
      <c r="K139" t="s">
        <v>116</v>
      </c>
      <c r="L139" t="s">
        <v>117</v>
      </c>
      <c r="M139" t="s">
        <v>118</v>
      </c>
      <c r="N139" t="s">
        <v>119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s="15">
        <v>0</v>
      </c>
      <c r="AF139" s="15">
        <v>0</v>
      </c>
      <c r="AG139" s="15">
        <v>0</v>
      </c>
      <c r="AH139">
        <v>22</v>
      </c>
      <c r="AI139">
        <v>26</v>
      </c>
      <c r="AJ139">
        <v>38</v>
      </c>
      <c r="AK139">
        <v>44</v>
      </c>
      <c r="AL139">
        <v>31</v>
      </c>
      <c r="AM139">
        <v>38</v>
      </c>
      <c r="AN139">
        <v>24</v>
      </c>
      <c r="AO139">
        <v>19</v>
      </c>
      <c r="AP139">
        <v>0</v>
      </c>
      <c r="AQ139">
        <v>0</v>
      </c>
      <c r="AR139" s="15">
        <v>115</v>
      </c>
      <c r="AS139" s="15">
        <v>127</v>
      </c>
      <c r="AT139" s="15">
        <v>242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I139" s="15">
        <v>0</v>
      </c>
      <c r="CJ139" s="15">
        <v>0</v>
      </c>
      <c r="CK139" s="15">
        <v>0</v>
      </c>
      <c r="CL139" s="21">
        <f>SUM(AE139,AR139,CI139)</f>
        <v>115</v>
      </c>
      <c r="CM139" s="21">
        <f>SUM(AF139,AS139,CJ139)</f>
        <v>127</v>
      </c>
      <c r="CN139" s="21">
        <f>SUM(AG139,AT139,CK139)</f>
        <v>242</v>
      </c>
    </row>
    <row r="140" spans="1:92" x14ac:dyDescent="0.3">
      <c r="A140" s="16" t="s">
        <v>403</v>
      </c>
      <c r="B140" t="s">
        <v>108</v>
      </c>
      <c r="C140" t="s">
        <v>144</v>
      </c>
      <c r="D140">
        <v>406446</v>
      </c>
      <c r="E140" t="s">
        <v>148</v>
      </c>
      <c r="F140" t="s">
        <v>149</v>
      </c>
      <c r="G140" t="s">
        <v>112</v>
      </c>
      <c r="H140" t="s">
        <v>147</v>
      </c>
      <c r="I140" t="s">
        <v>123</v>
      </c>
      <c r="J140" t="s">
        <v>124</v>
      </c>
      <c r="K140" t="s">
        <v>116</v>
      </c>
      <c r="L140" t="s">
        <v>150</v>
      </c>
      <c r="M140" t="s">
        <v>118</v>
      </c>
      <c r="N140" t="s">
        <v>151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s="15">
        <v>0</v>
      </c>
      <c r="AF140" s="15">
        <v>0</v>
      </c>
      <c r="AG140" s="15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15">
        <v>0</v>
      </c>
      <c r="AS140" s="15">
        <v>0</v>
      </c>
      <c r="AT140" s="15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I140" s="15">
        <v>0</v>
      </c>
      <c r="CJ140" s="15">
        <v>0</v>
      </c>
      <c r="CK140" s="15">
        <v>0</v>
      </c>
      <c r="CL140" s="21">
        <f>SUM(AE140,AR140,CI140)</f>
        <v>0</v>
      </c>
      <c r="CM140" s="21">
        <f>SUM(AF140,AS140,CJ140)</f>
        <v>0</v>
      </c>
      <c r="CN140" s="21">
        <f>SUM(AG140,AT140,CK140)</f>
        <v>0</v>
      </c>
    </row>
    <row r="141" spans="1:92" x14ac:dyDescent="0.3">
      <c r="A141" s="16" t="s">
        <v>403</v>
      </c>
      <c r="B141" t="s">
        <v>108</v>
      </c>
      <c r="C141" t="s">
        <v>144</v>
      </c>
      <c r="D141">
        <v>407772</v>
      </c>
      <c r="E141" t="s">
        <v>154</v>
      </c>
      <c r="F141" t="s">
        <v>155</v>
      </c>
      <c r="G141" t="s">
        <v>112</v>
      </c>
      <c r="H141" t="s">
        <v>147</v>
      </c>
      <c r="I141" t="s">
        <v>123</v>
      </c>
      <c r="J141" t="s">
        <v>124</v>
      </c>
      <c r="K141" t="s">
        <v>116</v>
      </c>
      <c r="L141" t="s">
        <v>156</v>
      </c>
      <c r="M141" t="s">
        <v>118</v>
      </c>
      <c r="N141" t="s">
        <v>157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s="15">
        <v>0</v>
      </c>
      <c r="AF141" s="15">
        <v>0</v>
      </c>
      <c r="AG141" s="15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15">
        <v>0</v>
      </c>
      <c r="AS141" s="15">
        <v>0</v>
      </c>
      <c r="AT141" s="15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I141" s="15">
        <v>0</v>
      </c>
      <c r="CJ141" s="15">
        <v>0</v>
      </c>
      <c r="CK141" s="15">
        <v>0</v>
      </c>
      <c r="CL141" s="21">
        <f>SUM(AE141,AR141,CI141)</f>
        <v>0</v>
      </c>
      <c r="CM141" s="21">
        <f>SUM(AF141,AS141,CJ141)</f>
        <v>0</v>
      </c>
      <c r="CN141" s="21">
        <f>SUM(AG141,AT141,CK141)</f>
        <v>0</v>
      </c>
    </row>
    <row r="142" spans="1:92" x14ac:dyDescent="0.3">
      <c r="A142" s="16" t="s">
        <v>403</v>
      </c>
      <c r="B142" t="s">
        <v>108</v>
      </c>
      <c r="C142" t="s">
        <v>144</v>
      </c>
      <c r="D142">
        <v>482742</v>
      </c>
      <c r="E142" t="s">
        <v>160</v>
      </c>
      <c r="F142" t="s">
        <v>161</v>
      </c>
      <c r="G142" t="s">
        <v>112</v>
      </c>
      <c r="H142" t="s">
        <v>133</v>
      </c>
      <c r="I142" t="s">
        <v>123</v>
      </c>
      <c r="J142" t="s">
        <v>124</v>
      </c>
      <c r="K142" t="s">
        <v>116</v>
      </c>
      <c r="L142" t="s">
        <v>162</v>
      </c>
      <c r="M142" t="s">
        <v>118</v>
      </c>
      <c r="N142" t="s">
        <v>163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s="15">
        <v>0</v>
      </c>
      <c r="AF142" s="15">
        <v>0</v>
      </c>
      <c r="AG142" s="15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15">
        <v>0</v>
      </c>
      <c r="AS142" s="15">
        <v>0</v>
      </c>
      <c r="AT142" s="15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I142" s="15">
        <v>0</v>
      </c>
      <c r="CJ142" s="15">
        <v>0</v>
      </c>
      <c r="CK142" s="15">
        <v>0</v>
      </c>
      <c r="CL142" s="21">
        <f>SUM(AE142,AR142,CI142)</f>
        <v>0</v>
      </c>
      <c r="CM142" s="21">
        <f>SUM(AF142,AS142,CJ142)</f>
        <v>0</v>
      </c>
      <c r="CN142" s="21">
        <f>SUM(AG142,AT142,CK142)</f>
        <v>0</v>
      </c>
    </row>
    <row r="143" spans="1:92" x14ac:dyDescent="0.3">
      <c r="A143" s="16" t="s">
        <v>403</v>
      </c>
      <c r="B143" t="s">
        <v>108</v>
      </c>
      <c r="C143" t="s">
        <v>144</v>
      </c>
      <c r="D143">
        <v>482792</v>
      </c>
      <c r="E143" t="s">
        <v>164</v>
      </c>
      <c r="F143" t="s">
        <v>165</v>
      </c>
      <c r="G143" t="s">
        <v>112</v>
      </c>
      <c r="H143" t="s">
        <v>147</v>
      </c>
      <c r="I143" t="s">
        <v>123</v>
      </c>
      <c r="J143" t="s">
        <v>124</v>
      </c>
      <c r="K143" t="s">
        <v>116</v>
      </c>
      <c r="L143" t="s">
        <v>162</v>
      </c>
      <c r="M143" t="s">
        <v>118</v>
      </c>
      <c r="N143" t="s">
        <v>163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s="15">
        <v>0</v>
      </c>
      <c r="AF143" s="15">
        <v>0</v>
      </c>
      <c r="AG143" s="15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15">
        <v>0</v>
      </c>
      <c r="AS143" s="15">
        <v>0</v>
      </c>
      <c r="AT143" s="15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I143" s="15">
        <v>0</v>
      </c>
      <c r="CJ143" s="15">
        <v>0</v>
      </c>
      <c r="CK143" s="15">
        <v>0</v>
      </c>
      <c r="CL143" s="21">
        <f>SUM(AE143,AR143,CI143)</f>
        <v>0</v>
      </c>
      <c r="CM143" s="21">
        <f>SUM(AF143,AS143,CJ143)</f>
        <v>0</v>
      </c>
      <c r="CN143" s="21">
        <f>SUM(AG143,AT143,CK143)</f>
        <v>0</v>
      </c>
    </row>
    <row r="144" spans="1:92" x14ac:dyDescent="0.3">
      <c r="A144" s="16" t="s">
        <v>403</v>
      </c>
      <c r="B144" t="s">
        <v>108</v>
      </c>
      <c r="C144" t="s">
        <v>166</v>
      </c>
      <c r="D144">
        <v>305340</v>
      </c>
      <c r="E144" t="s">
        <v>167</v>
      </c>
      <c r="F144" t="s">
        <v>168</v>
      </c>
      <c r="G144" t="s">
        <v>112</v>
      </c>
      <c r="H144" t="s">
        <v>169</v>
      </c>
      <c r="I144" t="s">
        <v>114</v>
      </c>
      <c r="J144" t="s">
        <v>115</v>
      </c>
      <c r="K144" t="s">
        <v>116</v>
      </c>
      <c r="L144" t="s">
        <v>117</v>
      </c>
      <c r="M144" t="s">
        <v>118</v>
      </c>
      <c r="N144" t="s">
        <v>119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s="15">
        <v>0</v>
      </c>
      <c r="AF144" s="15">
        <v>0</v>
      </c>
      <c r="AG144" s="15">
        <v>0</v>
      </c>
      <c r="AH144">
        <v>25</v>
      </c>
      <c r="AI144">
        <v>14</v>
      </c>
      <c r="AJ144">
        <v>16</v>
      </c>
      <c r="AK144">
        <v>16</v>
      </c>
      <c r="AL144">
        <v>0</v>
      </c>
      <c r="AM144">
        <v>10</v>
      </c>
      <c r="AN144">
        <v>10</v>
      </c>
      <c r="AO144">
        <v>16</v>
      </c>
      <c r="AP144">
        <v>0</v>
      </c>
      <c r="AQ144">
        <v>0</v>
      </c>
      <c r="AR144" s="15">
        <v>51</v>
      </c>
      <c r="AS144" s="15">
        <v>56</v>
      </c>
      <c r="AT144" s="15">
        <v>107</v>
      </c>
      <c r="AU144">
        <v>0</v>
      </c>
      <c r="AV144">
        <v>1</v>
      </c>
      <c r="AW144">
        <v>5</v>
      </c>
      <c r="AX144">
        <v>9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Q144">
        <v>1</v>
      </c>
      <c r="BR144">
        <v>6</v>
      </c>
      <c r="BS144">
        <v>2</v>
      </c>
      <c r="BT144">
        <v>2</v>
      </c>
      <c r="BU144">
        <v>0</v>
      </c>
      <c r="BV144">
        <v>3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I144" s="15">
        <v>10</v>
      </c>
      <c r="CJ144" s="15">
        <v>21</v>
      </c>
      <c r="CK144" s="15">
        <v>31</v>
      </c>
      <c r="CL144" s="21">
        <f>SUM(AE144,AR144,CI144)</f>
        <v>61</v>
      </c>
      <c r="CM144" s="21">
        <f>SUM(AF144,AS144,CJ144)</f>
        <v>77</v>
      </c>
      <c r="CN144" s="21">
        <f>SUM(AG144,AT144,CK144)</f>
        <v>138</v>
      </c>
    </row>
    <row r="145" spans="1:92" x14ac:dyDescent="0.3">
      <c r="A145" s="16" t="s">
        <v>403</v>
      </c>
      <c r="B145" t="s">
        <v>108</v>
      </c>
      <c r="C145" t="s">
        <v>166</v>
      </c>
      <c r="D145">
        <v>305342</v>
      </c>
      <c r="E145" t="s">
        <v>170</v>
      </c>
      <c r="F145" t="s">
        <v>171</v>
      </c>
      <c r="G145" t="s">
        <v>112</v>
      </c>
      <c r="H145" t="s">
        <v>113</v>
      </c>
      <c r="I145" t="s">
        <v>114</v>
      </c>
      <c r="J145" t="s">
        <v>115</v>
      </c>
      <c r="K145" t="s">
        <v>116</v>
      </c>
      <c r="L145" t="s">
        <v>117</v>
      </c>
      <c r="M145" t="s">
        <v>118</v>
      </c>
      <c r="N145" t="s">
        <v>119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s="15">
        <v>0</v>
      </c>
      <c r="AF145" s="15">
        <v>0</v>
      </c>
      <c r="AG145" s="15">
        <v>0</v>
      </c>
      <c r="AH145">
        <v>53</v>
      </c>
      <c r="AI145">
        <v>54</v>
      </c>
      <c r="AJ145">
        <v>52</v>
      </c>
      <c r="AK145">
        <v>72</v>
      </c>
      <c r="AL145">
        <v>50</v>
      </c>
      <c r="AM145">
        <v>48</v>
      </c>
      <c r="AN145">
        <v>64</v>
      </c>
      <c r="AO145">
        <v>57</v>
      </c>
      <c r="AP145">
        <v>0</v>
      </c>
      <c r="AQ145">
        <v>0</v>
      </c>
      <c r="AR145" s="15">
        <v>219</v>
      </c>
      <c r="AS145" s="15">
        <v>231</v>
      </c>
      <c r="AT145" s="15">
        <v>450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I145" s="15">
        <v>0</v>
      </c>
      <c r="CJ145" s="15">
        <v>0</v>
      </c>
      <c r="CK145" s="15">
        <v>0</v>
      </c>
      <c r="CL145" s="21">
        <f>SUM(AE145,AR145,CI145)</f>
        <v>219</v>
      </c>
      <c r="CM145" s="21">
        <f>SUM(AF145,AS145,CJ145)</f>
        <v>231</v>
      </c>
      <c r="CN145" s="21">
        <f>SUM(AG145,AT145,CK145)</f>
        <v>450</v>
      </c>
    </row>
    <row r="146" spans="1:92" x14ac:dyDescent="0.3">
      <c r="A146" s="16" t="s">
        <v>403</v>
      </c>
      <c r="B146" t="s">
        <v>108</v>
      </c>
      <c r="C146" t="s">
        <v>166</v>
      </c>
      <c r="D146">
        <v>319504</v>
      </c>
      <c r="E146" t="s">
        <v>172</v>
      </c>
      <c r="F146" t="s">
        <v>173</v>
      </c>
      <c r="G146" t="s">
        <v>112</v>
      </c>
      <c r="H146" t="s">
        <v>174</v>
      </c>
      <c r="I146" t="s">
        <v>114</v>
      </c>
      <c r="J146" t="s">
        <v>115</v>
      </c>
      <c r="K146" t="s">
        <v>116</v>
      </c>
      <c r="L146" t="s">
        <v>117</v>
      </c>
      <c r="M146" t="s">
        <v>118</v>
      </c>
      <c r="N146" t="s">
        <v>119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5">
        <v>0</v>
      </c>
      <c r="AF146" s="15">
        <v>0</v>
      </c>
      <c r="AG146" s="15">
        <v>0</v>
      </c>
      <c r="AH146">
        <v>47</v>
      </c>
      <c r="AI146">
        <v>48</v>
      </c>
      <c r="AJ146">
        <v>57</v>
      </c>
      <c r="AK146">
        <v>50</v>
      </c>
      <c r="AL146">
        <v>36</v>
      </c>
      <c r="AM146">
        <v>35</v>
      </c>
      <c r="AN146">
        <v>38</v>
      </c>
      <c r="AO146">
        <v>59</v>
      </c>
      <c r="AP146">
        <v>0</v>
      </c>
      <c r="AQ146">
        <v>0</v>
      </c>
      <c r="AR146" s="15">
        <v>178</v>
      </c>
      <c r="AS146" s="15">
        <v>192</v>
      </c>
      <c r="AT146" s="15">
        <v>370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I146" s="15">
        <v>0</v>
      </c>
      <c r="CJ146" s="15">
        <v>0</v>
      </c>
      <c r="CK146" s="15">
        <v>0</v>
      </c>
      <c r="CL146" s="21">
        <f>SUM(AE146,AR146,CI146)</f>
        <v>178</v>
      </c>
      <c r="CM146" s="21">
        <f>SUM(AF146,AS146,CJ146)</f>
        <v>192</v>
      </c>
      <c r="CN146" s="21">
        <f>SUM(AG146,AT146,CK146)</f>
        <v>370</v>
      </c>
    </row>
    <row r="147" spans="1:92" x14ac:dyDescent="0.3">
      <c r="A147" s="16" t="s">
        <v>403</v>
      </c>
      <c r="B147" t="s">
        <v>108</v>
      </c>
      <c r="C147" t="s">
        <v>166</v>
      </c>
      <c r="D147">
        <v>406472</v>
      </c>
      <c r="E147" t="s">
        <v>175</v>
      </c>
      <c r="F147" t="s">
        <v>176</v>
      </c>
      <c r="G147" t="s">
        <v>112</v>
      </c>
      <c r="H147" t="s">
        <v>174</v>
      </c>
      <c r="I147" t="s">
        <v>123</v>
      </c>
      <c r="J147" t="s">
        <v>124</v>
      </c>
      <c r="K147" t="s">
        <v>116</v>
      </c>
      <c r="L147" t="s">
        <v>156</v>
      </c>
      <c r="M147" t="s">
        <v>118</v>
      </c>
      <c r="N147" t="s">
        <v>157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s="15">
        <v>0</v>
      </c>
      <c r="AF147" s="15">
        <v>0</v>
      </c>
      <c r="AG147" s="15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15">
        <v>0</v>
      </c>
      <c r="AS147" s="15">
        <v>0</v>
      </c>
      <c r="AT147" s="15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I147" s="15">
        <v>0</v>
      </c>
      <c r="CJ147" s="15">
        <v>0</v>
      </c>
      <c r="CK147" s="15">
        <v>0</v>
      </c>
      <c r="CL147" s="21">
        <f>SUM(AE147,AR147,CI147)</f>
        <v>0</v>
      </c>
      <c r="CM147" s="21">
        <f>SUM(AF147,AS147,CJ147)</f>
        <v>0</v>
      </c>
      <c r="CN147" s="21">
        <f>SUM(AG147,AT147,CK147)</f>
        <v>0</v>
      </c>
    </row>
    <row r="148" spans="1:92" x14ac:dyDescent="0.3">
      <c r="A148" s="16" t="s">
        <v>403</v>
      </c>
      <c r="B148" t="s">
        <v>108</v>
      </c>
      <c r="C148" t="s">
        <v>166</v>
      </c>
      <c r="D148">
        <v>482540</v>
      </c>
      <c r="E148" t="s">
        <v>177</v>
      </c>
      <c r="F148" t="s">
        <v>178</v>
      </c>
      <c r="G148" t="s">
        <v>112</v>
      </c>
      <c r="H148" t="s">
        <v>133</v>
      </c>
      <c r="I148" t="s">
        <v>123</v>
      </c>
      <c r="J148" t="s">
        <v>124</v>
      </c>
      <c r="K148" t="s">
        <v>116</v>
      </c>
      <c r="L148" t="s">
        <v>156</v>
      </c>
      <c r="M148" t="s">
        <v>118</v>
      </c>
      <c r="N148" t="s">
        <v>157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s="15">
        <v>1</v>
      </c>
      <c r="AF148" s="15">
        <v>0</v>
      </c>
      <c r="AG148" s="15">
        <v>1</v>
      </c>
      <c r="AH148">
        <v>0</v>
      </c>
      <c r="AI148">
        <v>0</v>
      </c>
      <c r="AJ148">
        <v>0</v>
      </c>
      <c r="AK148">
        <v>0</v>
      </c>
      <c r="AL148">
        <v>2</v>
      </c>
      <c r="AM148">
        <v>1</v>
      </c>
      <c r="AN148">
        <v>1</v>
      </c>
      <c r="AO148">
        <v>0</v>
      </c>
      <c r="AP148">
        <v>0</v>
      </c>
      <c r="AQ148">
        <v>0</v>
      </c>
      <c r="AR148" s="15">
        <v>3</v>
      </c>
      <c r="AS148" s="15">
        <v>1</v>
      </c>
      <c r="AT148" s="15">
        <v>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I148" s="15">
        <v>0</v>
      </c>
      <c r="CJ148" s="15">
        <v>0</v>
      </c>
      <c r="CK148" s="15">
        <v>0</v>
      </c>
      <c r="CL148" s="21">
        <f>SUM(AE148,AR148,CI148)</f>
        <v>4</v>
      </c>
      <c r="CM148" s="21">
        <f>SUM(AF148,AS148,CJ148)</f>
        <v>1</v>
      </c>
      <c r="CN148" s="21">
        <f>SUM(AG148,AT148,CK148)</f>
        <v>5</v>
      </c>
    </row>
    <row r="149" spans="1:92" x14ac:dyDescent="0.3">
      <c r="A149" s="16" t="s">
        <v>403</v>
      </c>
      <c r="B149" t="s">
        <v>108</v>
      </c>
      <c r="C149" t="s">
        <v>166</v>
      </c>
      <c r="D149">
        <v>482607</v>
      </c>
      <c r="E149" t="s">
        <v>179</v>
      </c>
      <c r="F149" t="s">
        <v>180</v>
      </c>
      <c r="G149" t="s">
        <v>112</v>
      </c>
      <c r="H149" t="s">
        <v>174</v>
      </c>
      <c r="I149" t="s">
        <v>123</v>
      </c>
      <c r="J149" t="s">
        <v>124</v>
      </c>
      <c r="K149" t="s">
        <v>116</v>
      </c>
      <c r="L149" t="s">
        <v>156</v>
      </c>
      <c r="M149" t="s">
        <v>118</v>
      </c>
      <c r="N149" t="s">
        <v>157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s="15">
        <v>0</v>
      </c>
      <c r="AF149" s="15">
        <v>0</v>
      </c>
      <c r="AG149" s="15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15">
        <v>0</v>
      </c>
      <c r="AS149" s="15">
        <v>0</v>
      </c>
      <c r="AT149" s="15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I149" s="15">
        <v>0</v>
      </c>
      <c r="CJ149" s="15">
        <v>0</v>
      </c>
      <c r="CK149" s="15">
        <v>0</v>
      </c>
      <c r="CL149" s="21">
        <f>SUM(AE149,AR149,CI149)</f>
        <v>0</v>
      </c>
      <c r="CM149" s="21">
        <f>SUM(AF149,AS149,CJ149)</f>
        <v>0</v>
      </c>
      <c r="CN149" s="21">
        <f>SUM(AG149,AT149,CK149)</f>
        <v>0</v>
      </c>
    </row>
    <row r="150" spans="1:92" x14ac:dyDescent="0.3">
      <c r="A150" s="16" t="s">
        <v>403</v>
      </c>
      <c r="B150" t="s">
        <v>108</v>
      </c>
      <c r="C150" t="s">
        <v>181</v>
      </c>
      <c r="D150">
        <v>305336</v>
      </c>
      <c r="E150" t="s">
        <v>182</v>
      </c>
      <c r="F150" t="s">
        <v>183</v>
      </c>
      <c r="G150" t="s">
        <v>112</v>
      </c>
      <c r="H150" t="s">
        <v>129</v>
      </c>
      <c r="I150" t="s">
        <v>114</v>
      </c>
      <c r="J150" t="s">
        <v>115</v>
      </c>
      <c r="K150" t="s">
        <v>116</v>
      </c>
      <c r="L150" t="s">
        <v>117</v>
      </c>
      <c r="M150" t="s">
        <v>118</v>
      </c>
      <c r="N150" t="s">
        <v>119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s="15">
        <v>0</v>
      </c>
      <c r="AF150" s="15">
        <v>0</v>
      </c>
      <c r="AG150" s="15">
        <v>0</v>
      </c>
      <c r="AH150">
        <v>6</v>
      </c>
      <c r="AI150">
        <v>12</v>
      </c>
      <c r="AJ150">
        <v>6</v>
      </c>
      <c r="AK150">
        <v>6</v>
      </c>
      <c r="AL150">
        <v>12</v>
      </c>
      <c r="AM150">
        <v>24</v>
      </c>
      <c r="AN150">
        <v>11</v>
      </c>
      <c r="AO150">
        <v>11</v>
      </c>
      <c r="AP150">
        <v>0</v>
      </c>
      <c r="AQ150">
        <v>0</v>
      </c>
      <c r="AR150" s="15">
        <v>35</v>
      </c>
      <c r="AS150" s="15">
        <v>53</v>
      </c>
      <c r="AT150" s="15">
        <v>88</v>
      </c>
      <c r="AU150">
        <v>1</v>
      </c>
      <c r="AV150">
        <v>0</v>
      </c>
      <c r="AW150">
        <v>0</v>
      </c>
      <c r="AX150">
        <v>3</v>
      </c>
      <c r="AY150">
        <v>1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Q150">
        <v>0</v>
      </c>
      <c r="BR150">
        <v>0</v>
      </c>
      <c r="BS150">
        <v>0</v>
      </c>
      <c r="BT150">
        <v>0</v>
      </c>
      <c r="BU150">
        <v>2</v>
      </c>
      <c r="BV150">
        <v>5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I150" s="15">
        <v>4</v>
      </c>
      <c r="CJ150" s="15">
        <v>10</v>
      </c>
      <c r="CK150" s="15">
        <v>14</v>
      </c>
      <c r="CL150" s="21">
        <f>SUM(AE150,AR150,CI150)</f>
        <v>39</v>
      </c>
      <c r="CM150" s="21">
        <f>SUM(AF150,AS150,CJ150)</f>
        <v>63</v>
      </c>
      <c r="CN150" s="21">
        <f>SUM(AG150,AT150,CK150)</f>
        <v>102</v>
      </c>
    </row>
    <row r="151" spans="1:92" x14ac:dyDescent="0.3">
      <c r="A151" s="16" t="s">
        <v>403</v>
      </c>
      <c r="B151" t="s">
        <v>108</v>
      </c>
      <c r="C151" t="s">
        <v>181</v>
      </c>
      <c r="D151">
        <v>305338</v>
      </c>
      <c r="E151" t="s">
        <v>184</v>
      </c>
      <c r="F151" t="s">
        <v>185</v>
      </c>
      <c r="G151" t="s">
        <v>112</v>
      </c>
      <c r="H151" t="s">
        <v>186</v>
      </c>
      <c r="I151" t="s">
        <v>114</v>
      </c>
      <c r="J151" t="s">
        <v>115</v>
      </c>
      <c r="K151" t="s">
        <v>116</v>
      </c>
      <c r="L151" t="s">
        <v>187</v>
      </c>
      <c r="M151" t="s">
        <v>118</v>
      </c>
      <c r="N151" t="s">
        <v>188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s="15">
        <v>0</v>
      </c>
      <c r="AF151" s="15">
        <v>0</v>
      </c>
      <c r="AG151" s="15">
        <v>0</v>
      </c>
      <c r="AH151">
        <v>28</v>
      </c>
      <c r="AI151">
        <v>25</v>
      </c>
      <c r="AJ151">
        <v>19</v>
      </c>
      <c r="AK151">
        <v>16</v>
      </c>
      <c r="AL151">
        <v>15</v>
      </c>
      <c r="AM151">
        <v>17</v>
      </c>
      <c r="AN151">
        <v>51</v>
      </c>
      <c r="AO151">
        <v>55</v>
      </c>
      <c r="AP151">
        <v>0</v>
      </c>
      <c r="AQ151">
        <v>0</v>
      </c>
      <c r="AR151" s="15">
        <v>113</v>
      </c>
      <c r="AS151" s="15">
        <v>113</v>
      </c>
      <c r="AT151" s="15">
        <v>226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I151" s="15">
        <v>0</v>
      </c>
      <c r="CJ151" s="15">
        <v>0</v>
      </c>
      <c r="CK151" s="15">
        <v>0</v>
      </c>
      <c r="CL151" s="21">
        <f>SUM(AE151,AR151,CI151)</f>
        <v>113</v>
      </c>
      <c r="CM151" s="21">
        <f>SUM(AF151,AS151,CJ151)</f>
        <v>113</v>
      </c>
      <c r="CN151" s="21">
        <f>SUM(AG151,AT151,CK151)</f>
        <v>226</v>
      </c>
    </row>
    <row r="152" spans="1:92" x14ac:dyDescent="0.3">
      <c r="A152" s="16" t="s">
        <v>403</v>
      </c>
      <c r="B152" t="s">
        <v>108</v>
      </c>
      <c r="C152" t="s">
        <v>181</v>
      </c>
      <c r="D152">
        <v>305339</v>
      </c>
      <c r="E152" t="s">
        <v>189</v>
      </c>
      <c r="F152" t="s">
        <v>190</v>
      </c>
      <c r="G152" t="s">
        <v>112</v>
      </c>
      <c r="H152" t="s">
        <v>191</v>
      </c>
      <c r="I152" t="s">
        <v>114</v>
      </c>
      <c r="J152" t="s">
        <v>115</v>
      </c>
      <c r="K152" t="s">
        <v>116</v>
      </c>
      <c r="L152" t="s">
        <v>117</v>
      </c>
      <c r="M152" t="s">
        <v>118</v>
      </c>
      <c r="N152" t="s">
        <v>119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s="15">
        <v>0</v>
      </c>
      <c r="AF152" s="15">
        <v>0</v>
      </c>
      <c r="AG152" s="15">
        <v>0</v>
      </c>
      <c r="AH152">
        <v>11</v>
      </c>
      <c r="AI152">
        <v>9</v>
      </c>
      <c r="AJ152">
        <v>23</v>
      </c>
      <c r="AK152">
        <v>29</v>
      </c>
      <c r="AL152">
        <v>61</v>
      </c>
      <c r="AM152">
        <v>59</v>
      </c>
      <c r="AN152">
        <v>9</v>
      </c>
      <c r="AO152">
        <v>8</v>
      </c>
      <c r="AP152">
        <v>0</v>
      </c>
      <c r="AQ152">
        <v>0</v>
      </c>
      <c r="AR152" s="15">
        <v>104</v>
      </c>
      <c r="AS152" s="15">
        <v>105</v>
      </c>
      <c r="AT152" s="15">
        <v>209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I152" s="15">
        <v>0</v>
      </c>
      <c r="CJ152" s="15">
        <v>0</v>
      </c>
      <c r="CK152" s="15">
        <v>0</v>
      </c>
      <c r="CL152" s="21">
        <f>SUM(AE152,AR152,CI152)</f>
        <v>104</v>
      </c>
      <c r="CM152" s="21">
        <f>SUM(AF152,AS152,CJ152)</f>
        <v>105</v>
      </c>
      <c r="CN152" s="21">
        <f>SUM(AG152,AT152,CK152)</f>
        <v>209</v>
      </c>
    </row>
    <row r="153" spans="1:92" x14ac:dyDescent="0.3">
      <c r="A153" s="16" t="s">
        <v>403</v>
      </c>
      <c r="B153" t="s">
        <v>108</v>
      </c>
      <c r="C153" t="s">
        <v>181</v>
      </c>
      <c r="D153">
        <v>401447</v>
      </c>
      <c r="E153" t="s">
        <v>192</v>
      </c>
      <c r="F153" t="s">
        <v>193</v>
      </c>
      <c r="G153" t="s">
        <v>112</v>
      </c>
      <c r="H153" t="s">
        <v>191</v>
      </c>
      <c r="I153" t="s">
        <v>123</v>
      </c>
      <c r="J153" t="s">
        <v>124</v>
      </c>
      <c r="K153" t="s">
        <v>116</v>
      </c>
      <c r="L153" t="s">
        <v>125</v>
      </c>
      <c r="M153" t="s">
        <v>118</v>
      </c>
      <c r="N153" t="s">
        <v>126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s="15">
        <v>0</v>
      </c>
      <c r="AF153" s="15">
        <v>0</v>
      </c>
      <c r="AG153" s="15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15">
        <v>0</v>
      </c>
      <c r="AS153" s="15">
        <v>0</v>
      </c>
      <c r="AT153" s="15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I153" s="15">
        <v>0</v>
      </c>
      <c r="CJ153" s="15">
        <v>0</v>
      </c>
      <c r="CK153" s="15">
        <v>0</v>
      </c>
      <c r="CL153" s="21">
        <f>SUM(AE153,AR153,CI153)</f>
        <v>0</v>
      </c>
      <c r="CM153" s="21">
        <f>SUM(AF153,AS153,CJ153)</f>
        <v>0</v>
      </c>
      <c r="CN153" s="21">
        <f>SUM(AG153,AT153,CK153)</f>
        <v>0</v>
      </c>
    </row>
    <row r="154" spans="1:92" x14ac:dyDescent="0.3">
      <c r="A154" s="16" t="s">
        <v>403</v>
      </c>
      <c r="B154" t="s">
        <v>108</v>
      </c>
      <c r="C154" t="s">
        <v>181</v>
      </c>
      <c r="D154">
        <v>406474</v>
      </c>
      <c r="E154" t="s">
        <v>194</v>
      </c>
      <c r="F154" t="s">
        <v>195</v>
      </c>
      <c r="G154" t="s">
        <v>112</v>
      </c>
      <c r="H154" t="s">
        <v>186</v>
      </c>
      <c r="I154" t="s">
        <v>123</v>
      </c>
      <c r="J154" t="s">
        <v>124</v>
      </c>
      <c r="K154" t="s">
        <v>116</v>
      </c>
      <c r="L154" t="s">
        <v>150</v>
      </c>
      <c r="M154" t="s">
        <v>118</v>
      </c>
      <c r="N154" t="s">
        <v>151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s="15">
        <v>0</v>
      </c>
      <c r="AF154" s="15">
        <v>0</v>
      </c>
      <c r="AG154" s="15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15">
        <v>0</v>
      </c>
      <c r="AS154" s="15">
        <v>0</v>
      </c>
      <c r="AT154" s="15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I154" s="15">
        <v>0</v>
      </c>
      <c r="CJ154" s="15">
        <v>0</v>
      </c>
      <c r="CK154" s="15">
        <v>0</v>
      </c>
      <c r="CL154" s="21">
        <f>SUM(AE154,AR154,CI154)</f>
        <v>0</v>
      </c>
      <c r="CM154" s="21">
        <f>SUM(AF154,AS154,CJ154)</f>
        <v>0</v>
      </c>
      <c r="CN154" s="21">
        <f>SUM(AG154,AT154,CK154)</f>
        <v>0</v>
      </c>
    </row>
    <row r="155" spans="1:92" x14ac:dyDescent="0.3">
      <c r="A155" s="16" t="s">
        <v>403</v>
      </c>
      <c r="B155" t="s">
        <v>108</v>
      </c>
      <c r="C155" t="s">
        <v>181</v>
      </c>
      <c r="D155">
        <v>406484</v>
      </c>
      <c r="E155" t="s">
        <v>196</v>
      </c>
      <c r="F155" t="s">
        <v>197</v>
      </c>
      <c r="G155" t="s">
        <v>112</v>
      </c>
      <c r="H155" t="s">
        <v>129</v>
      </c>
      <c r="I155" t="s">
        <v>123</v>
      </c>
      <c r="J155" t="s">
        <v>124</v>
      </c>
      <c r="K155" t="s">
        <v>116</v>
      </c>
      <c r="L155" t="s">
        <v>150</v>
      </c>
      <c r="M155" t="s">
        <v>118</v>
      </c>
      <c r="N155" t="s">
        <v>151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s="15">
        <v>0</v>
      </c>
      <c r="AF155" s="15">
        <v>0</v>
      </c>
      <c r="AG155" s="1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15">
        <v>0</v>
      </c>
      <c r="AS155" s="15">
        <v>0</v>
      </c>
      <c r="AT155" s="1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I155" s="15">
        <v>0</v>
      </c>
      <c r="CJ155" s="15">
        <v>0</v>
      </c>
      <c r="CK155" s="15">
        <v>0</v>
      </c>
      <c r="CL155" s="21">
        <f>SUM(AE155,AR155,CI155)</f>
        <v>0</v>
      </c>
      <c r="CM155" s="21">
        <f>SUM(AF155,AS155,CJ155)</f>
        <v>0</v>
      </c>
      <c r="CN155" s="21">
        <f>SUM(AG155,AT155,CK155)</f>
        <v>0</v>
      </c>
    </row>
    <row r="156" spans="1:92" x14ac:dyDescent="0.3">
      <c r="A156" s="16" t="s">
        <v>403</v>
      </c>
      <c r="B156" t="s">
        <v>108</v>
      </c>
      <c r="C156" t="s">
        <v>181</v>
      </c>
      <c r="D156">
        <v>406487</v>
      </c>
      <c r="E156" t="s">
        <v>198</v>
      </c>
      <c r="F156" t="s">
        <v>199</v>
      </c>
      <c r="G156" t="s">
        <v>112</v>
      </c>
      <c r="H156" t="s">
        <v>129</v>
      </c>
      <c r="I156" t="s">
        <v>123</v>
      </c>
      <c r="J156" t="s">
        <v>124</v>
      </c>
      <c r="K156" t="s">
        <v>116</v>
      </c>
      <c r="L156" t="s">
        <v>150</v>
      </c>
      <c r="M156" t="s">
        <v>118</v>
      </c>
      <c r="N156" t="s">
        <v>151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s="15">
        <v>0</v>
      </c>
      <c r="AF156" s="15">
        <v>0</v>
      </c>
      <c r="AG156" s="15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15">
        <v>0</v>
      </c>
      <c r="AS156" s="15">
        <v>0</v>
      </c>
      <c r="AT156" s="15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I156" s="15">
        <v>0</v>
      </c>
      <c r="CJ156" s="15">
        <v>0</v>
      </c>
      <c r="CK156" s="15">
        <v>0</v>
      </c>
      <c r="CL156" s="21">
        <f>SUM(AE156,AR156,CI156)</f>
        <v>0</v>
      </c>
      <c r="CM156" s="21">
        <f>SUM(AF156,AS156,CJ156)</f>
        <v>0</v>
      </c>
      <c r="CN156" s="21">
        <f>SUM(AG156,AT156,CK156)</f>
        <v>0</v>
      </c>
    </row>
    <row r="157" spans="1:92" x14ac:dyDescent="0.3">
      <c r="A157" s="16" t="s">
        <v>403</v>
      </c>
      <c r="B157" t="s">
        <v>108</v>
      </c>
      <c r="C157" t="s">
        <v>181</v>
      </c>
      <c r="D157">
        <v>406493</v>
      </c>
      <c r="E157" t="s">
        <v>202</v>
      </c>
      <c r="F157" t="s">
        <v>203</v>
      </c>
      <c r="G157" t="s">
        <v>112</v>
      </c>
      <c r="H157" t="s">
        <v>186</v>
      </c>
      <c r="I157" t="s">
        <v>123</v>
      </c>
      <c r="J157" t="s">
        <v>124</v>
      </c>
      <c r="K157" t="s">
        <v>116</v>
      </c>
      <c r="L157" t="s">
        <v>150</v>
      </c>
      <c r="M157" t="s">
        <v>118</v>
      </c>
      <c r="N157" t="s">
        <v>151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s="15">
        <v>0</v>
      </c>
      <c r="AF157" s="15">
        <v>0</v>
      </c>
      <c r="AG157" s="15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15">
        <v>0</v>
      </c>
      <c r="AS157" s="15">
        <v>0</v>
      </c>
      <c r="AT157" s="15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I157" s="15">
        <v>0</v>
      </c>
      <c r="CJ157" s="15">
        <v>0</v>
      </c>
      <c r="CK157" s="15">
        <v>0</v>
      </c>
      <c r="CL157" s="21">
        <f>SUM(AE157,AR157,CI157)</f>
        <v>0</v>
      </c>
      <c r="CM157" s="21">
        <f>SUM(AF157,AS157,CJ157)</f>
        <v>0</v>
      </c>
      <c r="CN157" s="21">
        <f>SUM(AG157,AT157,CK157)</f>
        <v>0</v>
      </c>
    </row>
    <row r="158" spans="1:92" x14ac:dyDescent="0.3">
      <c r="A158" s="16" t="s">
        <v>403</v>
      </c>
      <c r="B158" t="s">
        <v>108</v>
      </c>
      <c r="C158" t="s">
        <v>181</v>
      </c>
      <c r="D158">
        <v>406510</v>
      </c>
      <c r="E158" t="s">
        <v>204</v>
      </c>
      <c r="F158" t="s">
        <v>205</v>
      </c>
      <c r="G158" t="s">
        <v>112</v>
      </c>
      <c r="H158" t="s">
        <v>136</v>
      </c>
      <c r="I158" t="s">
        <v>123</v>
      </c>
      <c r="J158" t="s">
        <v>124</v>
      </c>
      <c r="K158" t="s">
        <v>116</v>
      </c>
      <c r="L158" t="s">
        <v>156</v>
      </c>
      <c r="M158" t="s">
        <v>118</v>
      </c>
      <c r="N158" t="s">
        <v>157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s="15">
        <v>0</v>
      </c>
      <c r="AF158" s="15">
        <v>0</v>
      </c>
      <c r="AG158" s="15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15">
        <v>0</v>
      </c>
      <c r="AS158" s="15">
        <v>0</v>
      </c>
      <c r="AT158" s="15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I158" s="15">
        <v>0</v>
      </c>
      <c r="CJ158" s="15">
        <v>0</v>
      </c>
      <c r="CK158" s="15">
        <v>0</v>
      </c>
      <c r="CL158" s="21">
        <f>SUM(AE158,AR158,CI158)</f>
        <v>0</v>
      </c>
      <c r="CM158" s="21">
        <f>SUM(AF158,AS158,CJ158)</f>
        <v>0</v>
      </c>
      <c r="CN158" s="21">
        <f>SUM(AG158,AT158,CK158)</f>
        <v>0</v>
      </c>
    </row>
    <row r="159" spans="1:92" x14ac:dyDescent="0.3">
      <c r="A159" s="16" t="s">
        <v>403</v>
      </c>
      <c r="B159" t="s">
        <v>108</v>
      </c>
      <c r="C159" t="s">
        <v>181</v>
      </c>
      <c r="D159">
        <v>407808</v>
      </c>
      <c r="E159" t="s">
        <v>206</v>
      </c>
      <c r="F159" t="s">
        <v>207</v>
      </c>
      <c r="G159" t="s">
        <v>112</v>
      </c>
      <c r="H159" t="s">
        <v>186</v>
      </c>
      <c r="I159" t="s">
        <v>123</v>
      </c>
      <c r="J159" t="s">
        <v>124</v>
      </c>
      <c r="K159" t="s">
        <v>116</v>
      </c>
      <c r="L159" t="s">
        <v>125</v>
      </c>
      <c r="M159" t="s">
        <v>118</v>
      </c>
      <c r="N159" t="s">
        <v>126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s="15">
        <v>0</v>
      </c>
      <c r="AF159" s="15">
        <v>0</v>
      </c>
      <c r="AG159" s="15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15">
        <v>0</v>
      </c>
      <c r="AS159" s="15">
        <v>0</v>
      </c>
      <c r="AT159" s="15">
        <v>0</v>
      </c>
      <c r="AU159">
        <v>2</v>
      </c>
      <c r="AV159">
        <v>17</v>
      </c>
      <c r="AW159">
        <v>15</v>
      </c>
      <c r="AX159">
        <v>17</v>
      </c>
      <c r="AY159">
        <v>0</v>
      </c>
      <c r="AZ159">
        <v>0</v>
      </c>
      <c r="BA159">
        <v>3</v>
      </c>
      <c r="BB159">
        <v>5</v>
      </c>
      <c r="BC159">
        <v>0</v>
      </c>
      <c r="BD159">
        <v>0</v>
      </c>
      <c r="BE159">
        <v>32</v>
      </c>
      <c r="BF159">
        <v>33</v>
      </c>
      <c r="BG159">
        <v>0</v>
      </c>
      <c r="BH159">
        <v>0</v>
      </c>
      <c r="BI159">
        <v>0</v>
      </c>
      <c r="BJ159">
        <v>0</v>
      </c>
      <c r="BQ159">
        <v>2</v>
      </c>
      <c r="BR159">
        <v>3</v>
      </c>
      <c r="BS159">
        <v>2</v>
      </c>
      <c r="BT159">
        <v>4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8</v>
      </c>
      <c r="CC159">
        <v>0</v>
      </c>
      <c r="CD159">
        <v>0</v>
      </c>
      <c r="CE159">
        <v>0</v>
      </c>
      <c r="CF159">
        <v>0</v>
      </c>
      <c r="CI159" s="15">
        <v>61</v>
      </c>
      <c r="CJ159" s="15">
        <v>87</v>
      </c>
      <c r="CK159" s="15">
        <v>148</v>
      </c>
      <c r="CL159" s="21">
        <f>SUM(AE159,AR159,CI159)</f>
        <v>61</v>
      </c>
      <c r="CM159" s="21">
        <f>SUM(AF159,AS159,CJ159)</f>
        <v>87</v>
      </c>
      <c r="CN159" s="21">
        <f>SUM(AG159,AT159,CK159)</f>
        <v>148</v>
      </c>
    </row>
    <row r="160" spans="1:92" x14ac:dyDescent="0.3">
      <c r="A160" s="16" t="s">
        <v>403</v>
      </c>
      <c r="B160" t="s">
        <v>108</v>
      </c>
      <c r="C160" t="s">
        <v>181</v>
      </c>
      <c r="D160">
        <v>410119</v>
      </c>
      <c r="E160" t="s">
        <v>208</v>
      </c>
      <c r="F160" t="s">
        <v>209</v>
      </c>
      <c r="G160" t="s">
        <v>112</v>
      </c>
      <c r="H160" t="s">
        <v>136</v>
      </c>
      <c r="I160" t="s">
        <v>123</v>
      </c>
      <c r="J160" t="s">
        <v>124</v>
      </c>
      <c r="K160" t="s">
        <v>116</v>
      </c>
      <c r="L160" t="s">
        <v>162</v>
      </c>
      <c r="M160" t="s">
        <v>118</v>
      </c>
      <c r="N160" t="s">
        <v>163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s="15">
        <v>0</v>
      </c>
      <c r="AF160" s="15">
        <v>0</v>
      </c>
      <c r="AG160" s="15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15">
        <v>0</v>
      </c>
      <c r="AS160" s="15">
        <v>0</v>
      </c>
      <c r="AT160" s="15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I160" s="15">
        <v>0</v>
      </c>
      <c r="CJ160" s="15">
        <v>0</v>
      </c>
      <c r="CK160" s="15">
        <v>0</v>
      </c>
      <c r="CL160" s="21">
        <f>SUM(AE160,AR160,CI160)</f>
        <v>0</v>
      </c>
      <c r="CM160" s="21">
        <f>SUM(AF160,AS160,CJ160)</f>
        <v>0</v>
      </c>
      <c r="CN160" s="21">
        <f>SUM(AG160,AT160,CK160)</f>
        <v>0</v>
      </c>
    </row>
    <row r="161" spans="1:92" x14ac:dyDescent="0.3">
      <c r="A161" s="16" t="s">
        <v>403</v>
      </c>
      <c r="B161" t="s">
        <v>108</v>
      </c>
      <c r="C161" t="s">
        <v>181</v>
      </c>
      <c r="D161">
        <v>482504</v>
      </c>
      <c r="E161" t="s">
        <v>210</v>
      </c>
      <c r="F161" t="s">
        <v>211</v>
      </c>
      <c r="G161" t="s">
        <v>112</v>
      </c>
      <c r="H161" t="s">
        <v>122</v>
      </c>
      <c r="I161" t="s">
        <v>123</v>
      </c>
      <c r="J161" t="s">
        <v>124</v>
      </c>
      <c r="K161" t="s">
        <v>116</v>
      </c>
      <c r="L161" t="s">
        <v>150</v>
      </c>
      <c r="M161" t="s">
        <v>118</v>
      </c>
      <c r="N161" t="s">
        <v>151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s="15">
        <v>0</v>
      </c>
      <c r="AF161" s="15">
        <v>0</v>
      </c>
      <c r="AG161" s="15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15">
        <v>0</v>
      </c>
      <c r="AS161" s="15">
        <v>0</v>
      </c>
      <c r="AT161" s="15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I161" s="15">
        <v>0</v>
      </c>
      <c r="CJ161" s="15">
        <v>0</v>
      </c>
      <c r="CK161" s="15">
        <v>0</v>
      </c>
      <c r="CL161" s="21">
        <f>SUM(AE161,AR161,CI161)</f>
        <v>0</v>
      </c>
      <c r="CM161" s="21">
        <f>SUM(AF161,AS161,CJ161)</f>
        <v>0</v>
      </c>
      <c r="CN161" s="21">
        <f>SUM(AG161,AT161,CK161)</f>
        <v>0</v>
      </c>
    </row>
    <row r="162" spans="1:92" x14ac:dyDescent="0.3">
      <c r="A162" s="16" t="s">
        <v>403</v>
      </c>
      <c r="B162" t="s">
        <v>108</v>
      </c>
      <c r="C162" t="s">
        <v>181</v>
      </c>
      <c r="D162">
        <v>482521</v>
      </c>
      <c r="E162" t="s">
        <v>408</v>
      </c>
      <c r="F162" t="s">
        <v>409</v>
      </c>
      <c r="G162" t="s">
        <v>112</v>
      </c>
      <c r="H162" t="s">
        <v>191</v>
      </c>
      <c r="I162" t="s">
        <v>123</v>
      </c>
      <c r="J162" t="s">
        <v>124</v>
      </c>
      <c r="K162" t="s">
        <v>116</v>
      </c>
      <c r="L162" t="s">
        <v>162</v>
      </c>
      <c r="M162" t="s">
        <v>118</v>
      </c>
      <c r="N162" t="s">
        <v>163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s="15">
        <v>0</v>
      </c>
      <c r="AF162" s="15">
        <v>0</v>
      </c>
      <c r="AG162" s="15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15">
        <v>0</v>
      </c>
      <c r="AS162" s="15">
        <v>0</v>
      </c>
      <c r="AT162" s="15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I162" s="15">
        <v>0</v>
      </c>
      <c r="CJ162" s="15">
        <v>0</v>
      </c>
      <c r="CK162" s="15">
        <v>0</v>
      </c>
      <c r="CL162" s="21">
        <f>SUM(AE162,AR162,CI162)</f>
        <v>0</v>
      </c>
      <c r="CM162" s="21">
        <f>SUM(AF162,AS162,CJ162)</f>
        <v>0</v>
      </c>
      <c r="CN162" s="21">
        <f>SUM(AG162,AT162,CK162)</f>
        <v>0</v>
      </c>
    </row>
    <row r="163" spans="1:92" x14ac:dyDescent="0.3">
      <c r="A163" s="16" t="s">
        <v>403</v>
      </c>
      <c r="B163" t="s">
        <v>108</v>
      </c>
      <c r="C163" t="s">
        <v>181</v>
      </c>
      <c r="D163">
        <v>482541</v>
      </c>
      <c r="E163" t="s">
        <v>215</v>
      </c>
      <c r="F163" t="s">
        <v>216</v>
      </c>
      <c r="G163" t="s">
        <v>112</v>
      </c>
      <c r="H163" t="s">
        <v>217</v>
      </c>
      <c r="I163" t="s">
        <v>123</v>
      </c>
      <c r="J163" t="s">
        <v>124</v>
      </c>
      <c r="K163" t="s">
        <v>116</v>
      </c>
      <c r="L163" t="s">
        <v>162</v>
      </c>
      <c r="M163" t="s">
        <v>118</v>
      </c>
      <c r="N163" t="s">
        <v>163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s="15">
        <v>0</v>
      </c>
      <c r="AF163" s="15">
        <v>0</v>
      </c>
      <c r="AG163" s="15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15">
        <v>0</v>
      </c>
      <c r="AS163" s="15">
        <v>0</v>
      </c>
      <c r="AT163" s="15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I163" s="15">
        <v>0</v>
      </c>
      <c r="CJ163" s="15">
        <v>0</v>
      </c>
      <c r="CK163" s="15">
        <v>0</v>
      </c>
      <c r="CL163" s="21">
        <f>SUM(AE163,AR163,CI163)</f>
        <v>0</v>
      </c>
      <c r="CM163" s="21">
        <f>SUM(AF163,AS163,CJ163)</f>
        <v>0</v>
      </c>
      <c r="CN163" s="21">
        <f>SUM(AG163,AT163,CK163)</f>
        <v>0</v>
      </c>
    </row>
    <row r="164" spans="1:92" x14ac:dyDescent="0.3">
      <c r="A164" s="16" t="s">
        <v>403</v>
      </c>
      <c r="B164" t="s">
        <v>108</v>
      </c>
      <c r="C164" t="s">
        <v>181</v>
      </c>
      <c r="D164">
        <v>482600</v>
      </c>
      <c r="E164" t="s">
        <v>218</v>
      </c>
      <c r="F164" t="s">
        <v>219</v>
      </c>
      <c r="G164" t="s">
        <v>112</v>
      </c>
      <c r="H164" t="s">
        <v>186</v>
      </c>
      <c r="I164" t="s">
        <v>123</v>
      </c>
      <c r="J164" t="s">
        <v>124</v>
      </c>
      <c r="K164" t="s">
        <v>116</v>
      </c>
      <c r="L164" t="s">
        <v>156</v>
      </c>
      <c r="M164" t="s">
        <v>118</v>
      </c>
      <c r="N164" t="s">
        <v>157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s="15">
        <v>0</v>
      </c>
      <c r="AF164" s="15">
        <v>0</v>
      </c>
      <c r="AG164" s="15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15">
        <v>0</v>
      </c>
      <c r="AS164" s="15">
        <v>0</v>
      </c>
      <c r="AT164" s="15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I164" s="15">
        <v>0</v>
      </c>
      <c r="CJ164" s="15">
        <v>0</v>
      </c>
      <c r="CK164" s="15">
        <v>0</v>
      </c>
      <c r="CL164" s="21">
        <f>SUM(AE164,AR164,CI164)</f>
        <v>0</v>
      </c>
      <c r="CM164" s="21">
        <f>SUM(AF164,AS164,CJ164)</f>
        <v>0</v>
      </c>
      <c r="CN164" s="21">
        <f>SUM(AG164,AT164,CK164)</f>
        <v>0</v>
      </c>
    </row>
    <row r="165" spans="1:92" x14ac:dyDescent="0.3">
      <c r="A165" s="16" t="s">
        <v>403</v>
      </c>
      <c r="B165" t="s">
        <v>108</v>
      </c>
      <c r="C165" t="s">
        <v>181</v>
      </c>
      <c r="D165">
        <v>482611</v>
      </c>
      <c r="E165" t="s">
        <v>220</v>
      </c>
      <c r="F165" t="s">
        <v>221</v>
      </c>
      <c r="G165" t="s">
        <v>112</v>
      </c>
      <c r="H165" t="s">
        <v>186</v>
      </c>
      <c r="I165" t="s">
        <v>123</v>
      </c>
      <c r="J165" t="s">
        <v>124</v>
      </c>
      <c r="K165" t="s">
        <v>116</v>
      </c>
      <c r="L165" t="s">
        <v>162</v>
      </c>
      <c r="M165" t="s">
        <v>118</v>
      </c>
      <c r="N165" t="s">
        <v>163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s="15">
        <v>0</v>
      </c>
      <c r="AF165" s="15">
        <v>0</v>
      </c>
      <c r="AG165" s="1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15">
        <v>0</v>
      </c>
      <c r="AS165" s="15">
        <v>0</v>
      </c>
      <c r="AT165" s="1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I165" s="15">
        <v>0</v>
      </c>
      <c r="CJ165" s="15">
        <v>0</v>
      </c>
      <c r="CK165" s="15">
        <v>0</v>
      </c>
      <c r="CL165" s="21">
        <f>SUM(AE165,AR165,CI165)</f>
        <v>0</v>
      </c>
      <c r="CM165" s="21">
        <f>SUM(AF165,AS165,CJ165)</f>
        <v>0</v>
      </c>
      <c r="CN165" s="21">
        <f>SUM(AG165,AT165,CK165)</f>
        <v>0</v>
      </c>
    </row>
    <row r="166" spans="1:92" x14ac:dyDescent="0.3">
      <c r="A166" s="16" t="s">
        <v>403</v>
      </c>
      <c r="B166" t="s">
        <v>108</v>
      </c>
      <c r="C166" t="s">
        <v>181</v>
      </c>
      <c r="D166">
        <v>482612</v>
      </c>
      <c r="E166" t="s">
        <v>222</v>
      </c>
      <c r="F166" t="s">
        <v>223</v>
      </c>
      <c r="G166" t="s">
        <v>112</v>
      </c>
      <c r="H166" t="s">
        <v>122</v>
      </c>
      <c r="I166" t="s">
        <v>123</v>
      </c>
      <c r="J166" t="s">
        <v>124</v>
      </c>
      <c r="K166" t="s">
        <v>116</v>
      </c>
      <c r="L166" t="s">
        <v>162</v>
      </c>
      <c r="M166" t="s">
        <v>118</v>
      </c>
      <c r="N166" t="s">
        <v>163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s="15">
        <v>0</v>
      </c>
      <c r="AF166" s="15">
        <v>0</v>
      </c>
      <c r="AG166" s="15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15">
        <v>0</v>
      </c>
      <c r="AS166" s="15">
        <v>0</v>
      </c>
      <c r="AT166" s="15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I166" s="15">
        <v>0</v>
      </c>
      <c r="CJ166" s="15">
        <v>0</v>
      </c>
      <c r="CK166" s="15">
        <v>0</v>
      </c>
      <c r="CL166" s="21">
        <f>SUM(AE166,AR166,CI166)</f>
        <v>0</v>
      </c>
      <c r="CM166" s="21">
        <f>SUM(AF166,AS166,CJ166)</f>
        <v>0</v>
      </c>
      <c r="CN166" s="21">
        <f>SUM(AG166,AT166,CK166)</f>
        <v>0</v>
      </c>
    </row>
    <row r="167" spans="1:92" x14ac:dyDescent="0.3">
      <c r="A167" s="16" t="s">
        <v>403</v>
      </c>
      <c r="B167" t="s">
        <v>108</v>
      </c>
      <c r="C167" t="s">
        <v>181</v>
      </c>
      <c r="D167">
        <v>482617</v>
      </c>
      <c r="E167" t="s">
        <v>224</v>
      </c>
      <c r="F167" t="s">
        <v>225</v>
      </c>
      <c r="G167" t="s">
        <v>112</v>
      </c>
      <c r="H167" t="s">
        <v>191</v>
      </c>
      <c r="I167" t="s">
        <v>123</v>
      </c>
      <c r="J167" t="s">
        <v>124</v>
      </c>
      <c r="K167" t="s">
        <v>116</v>
      </c>
      <c r="L167" t="s">
        <v>150</v>
      </c>
      <c r="M167" t="s">
        <v>118</v>
      </c>
      <c r="N167" t="s">
        <v>151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s="15">
        <v>0</v>
      </c>
      <c r="AF167" s="15">
        <v>0</v>
      </c>
      <c r="AG167" s="15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15">
        <v>0</v>
      </c>
      <c r="AS167" s="15">
        <v>0</v>
      </c>
      <c r="AT167" s="15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I167" s="15">
        <v>0</v>
      </c>
      <c r="CJ167" s="15">
        <v>0</v>
      </c>
      <c r="CK167" s="15">
        <v>0</v>
      </c>
      <c r="CL167" s="21">
        <f>SUM(AE167,AR167,CI167)</f>
        <v>0</v>
      </c>
      <c r="CM167" s="21">
        <f>SUM(AF167,AS167,CJ167)</f>
        <v>0</v>
      </c>
      <c r="CN167" s="21">
        <f>SUM(AG167,AT167,CK167)</f>
        <v>0</v>
      </c>
    </row>
    <row r="168" spans="1:92" x14ac:dyDescent="0.3">
      <c r="A168" s="16" t="s">
        <v>403</v>
      </c>
      <c r="B168" t="s">
        <v>108</v>
      </c>
      <c r="C168" t="s">
        <v>181</v>
      </c>
      <c r="D168">
        <v>482619</v>
      </c>
      <c r="E168" t="s">
        <v>226</v>
      </c>
      <c r="F168" t="s">
        <v>227</v>
      </c>
      <c r="G168" t="s">
        <v>112</v>
      </c>
      <c r="H168" t="s">
        <v>191</v>
      </c>
      <c r="I168" t="s">
        <v>123</v>
      </c>
      <c r="J168" t="s">
        <v>124</v>
      </c>
      <c r="K168" t="s">
        <v>116</v>
      </c>
      <c r="L168" t="s">
        <v>156</v>
      </c>
      <c r="M168" t="s">
        <v>118</v>
      </c>
      <c r="N168" t="s">
        <v>157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s="15">
        <v>0</v>
      </c>
      <c r="AF168" s="15">
        <v>0</v>
      </c>
      <c r="AG168" s="15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15">
        <v>0</v>
      </c>
      <c r="AS168" s="15">
        <v>0</v>
      </c>
      <c r="AT168" s="15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I168" s="15">
        <v>0</v>
      </c>
      <c r="CJ168" s="15">
        <v>0</v>
      </c>
      <c r="CK168" s="15">
        <v>0</v>
      </c>
      <c r="CL168" s="21">
        <f>SUM(AE168,AR168,CI168)</f>
        <v>0</v>
      </c>
      <c r="CM168" s="21">
        <f>SUM(AF168,AS168,CJ168)</f>
        <v>0</v>
      </c>
      <c r="CN168" s="21">
        <f>SUM(AG168,AT168,CK168)</f>
        <v>0</v>
      </c>
    </row>
    <row r="169" spans="1:92" x14ac:dyDescent="0.3">
      <c r="A169" s="16" t="s">
        <v>403</v>
      </c>
      <c r="B169" t="s">
        <v>108</v>
      </c>
      <c r="C169" t="s">
        <v>181</v>
      </c>
      <c r="D169">
        <v>482719</v>
      </c>
      <c r="E169" t="s">
        <v>230</v>
      </c>
      <c r="F169" t="s">
        <v>231</v>
      </c>
      <c r="G169" t="s">
        <v>112</v>
      </c>
      <c r="H169" t="s">
        <v>129</v>
      </c>
      <c r="I169" t="s">
        <v>123</v>
      </c>
      <c r="J169" t="s">
        <v>124</v>
      </c>
      <c r="K169" t="s">
        <v>116</v>
      </c>
      <c r="L169" t="s">
        <v>162</v>
      </c>
      <c r="M169" t="s">
        <v>118</v>
      </c>
      <c r="N169" t="s">
        <v>163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s="15">
        <v>0</v>
      </c>
      <c r="AF169" s="15">
        <v>0</v>
      </c>
      <c r="AG169" s="15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15">
        <v>0</v>
      </c>
      <c r="AS169" s="15">
        <v>0</v>
      </c>
      <c r="AT169" s="15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I169" s="15">
        <v>0</v>
      </c>
      <c r="CJ169" s="15">
        <v>0</v>
      </c>
      <c r="CK169" s="15">
        <v>0</v>
      </c>
      <c r="CL169" s="21">
        <f>SUM(AE169,AR169,CI169)</f>
        <v>0</v>
      </c>
      <c r="CM169" s="21">
        <f>SUM(AF169,AS169,CJ169)</f>
        <v>0</v>
      </c>
      <c r="CN169" s="21">
        <f>SUM(AG169,AT169,CK169)</f>
        <v>0</v>
      </c>
    </row>
    <row r="170" spans="1:92" x14ac:dyDescent="0.3">
      <c r="A170" s="16" t="s">
        <v>403</v>
      </c>
      <c r="B170" t="s">
        <v>108</v>
      </c>
      <c r="C170" t="s">
        <v>181</v>
      </c>
      <c r="D170">
        <v>482730</v>
      </c>
      <c r="E170" t="s">
        <v>232</v>
      </c>
      <c r="F170" t="s">
        <v>233</v>
      </c>
      <c r="G170" t="s">
        <v>112</v>
      </c>
      <c r="H170" t="s">
        <v>186</v>
      </c>
      <c r="I170" t="s">
        <v>123</v>
      </c>
      <c r="J170" t="s">
        <v>124</v>
      </c>
      <c r="K170" t="s">
        <v>116</v>
      </c>
      <c r="L170" t="s">
        <v>162</v>
      </c>
      <c r="M170" t="s">
        <v>118</v>
      </c>
      <c r="N170" t="s">
        <v>163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s="15">
        <v>0</v>
      </c>
      <c r="AF170" s="15">
        <v>0</v>
      </c>
      <c r="AG170" s="15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15">
        <v>0</v>
      </c>
      <c r="AS170" s="15">
        <v>0</v>
      </c>
      <c r="AT170" s="15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I170" s="15">
        <v>0</v>
      </c>
      <c r="CJ170" s="15">
        <v>0</v>
      </c>
      <c r="CK170" s="15">
        <v>0</v>
      </c>
      <c r="CL170" s="21">
        <f>SUM(AE170,AR170,CI170)</f>
        <v>0</v>
      </c>
      <c r="CM170" s="21">
        <f>SUM(AF170,AS170,CJ170)</f>
        <v>0</v>
      </c>
      <c r="CN170" s="21">
        <f>SUM(AG170,AT170,CK170)</f>
        <v>0</v>
      </c>
    </row>
    <row r="171" spans="1:92" x14ac:dyDescent="0.3">
      <c r="A171" s="16" t="s">
        <v>403</v>
      </c>
      <c r="B171" t="s">
        <v>108</v>
      </c>
      <c r="C171" t="s">
        <v>181</v>
      </c>
      <c r="D171">
        <v>482821</v>
      </c>
      <c r="E171" t="s">
        <v>234</v>
      </c>
      <c r="F171" t="s">
        <v>235</v>
      </c>
      <c r="G171" t="s">
        <v>112</v>
      </c>
      <c r="H171" t="s">
        <v>191</v>
      </c>
      <c r="I171" t="s">
        <v>123</v>
      </c>
      <c r="J171" t="s">
        <v>124</v>
      </c>
      <c r="K171" t="s">
        <v>116</v>
      </c>
      <c r="L171" t="s">
        <v>162</v>
      </c>
      <c r="M171" t="s">
        <v>118</v>
      </c>
      <c r="N171" t="s">
        <v>163</v>
      </c>
      <c r="O171">
        <v>4</v>
      </c>
      <c r="P171">
        <v>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s="15">
        <v>4</v>
      </c>
      <c r="AF171" s="15">
        <v>6</v>
      </c>
      <c r="AG171" s="15">
        <v>10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15">
        <v>0</v>
      </c>
      <c r="AS171" s="15">
        <v>0</v>
      </c>
      <c r="AT171" s="15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I171" s="15">
        <v>0</v>
      </c>
      <c r="CJ171" s="15">
        <v>0</v>
      </c>
      <c r="CK171" s="15">
        <v>0</v>
      </c>
      <c r="CL171" s="21">
        <f>SUM(AE171,AR171,CI171)</f>
        <v>4</v>
      </c>
      <c r="CM171" s="21">
        <f>SUM(AF171,AS171,CJ171)</f>
        <v>6</v>
      </c>
      <c r="CN171" s="21">
        <f>SUM(AG171,AT171,CK171)</f>
        <v>10</v>
      </c>
    </row>
    <row r="172" spans="1:92" x14ac:dyDescent="0.3">
      <c r="A172" s="16" t="s">
        <v>403</v>
      </c>
      <c r="B172" t="s">
        <v>108</v>
      </c>
      <c r="C172" t="s">
        <v>238</v>
      </c>
      <c r="D172">
        <v>406495</v>
      </c>
      <c r="E172" t="s">
        <v>239</v>
      </c>
      <c r="F172" t="s">
        <v>240</v>
      </c>
      <c r="G172" t="s">
        <v>112</v>
      </c>
      <c r="H172" t="s">
        <v>136</v>
      </c>
      <c r="I172" t="s">
        <v>123</v>
      </c>
      <c r="J172" t="s">
        <v>124</v>
      </c>
      <c r="K172" t="s">
        <v>116</v>
      </c>
      <c r="L172" t="s">
        <v>162</v>
      </c>
      <c r="M172" t="s">
        <v>118</v>
      </c>
      <c r="N172" t="s">
        <v>163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s="15">
        <v>0</v>
      </c>
      <c r="AF172" s="15">
        <v>0</v>
      </c>
      <c r="AG172" s="15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15">
        <v>0</v>
      </c>
      <c r="AS172" s="15">
        <v>0</v>
      </c>
      <c r="AT172" s="15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I172" s="15">
        <v>0</v>
      </c>
      <c r="CJ172" s="15">
        <v>0</v>
      </c>
      <c r="CK172" s="15">
        <v>0</v>
      </c>
      <c r="CL172" s="21">
        <f>SUM(AE172,AR172,CI172)</f>
        <v>0</v>
      </c>
      <c r="CM172" s="21">
        <f>SUM(AF172,AS172,CJ172)</f>
        <v>0</v>
      </c>
      <c r="CN172" s="21">
        <f>SUM(AG172,AT172,CK172)</f>
        <v>0</v>
      </c>
    </row>
    <row r="173" spans="1:92" x14ac:dyDescent="0.3">
      <c r="A173" s="16" t="s">
        <v>403</v>
      </c>
      <c r="B173" t="s">
        <v>108</v>
      </c>
      <c r="C173" t="s">
        <v>238</v>
      </c>
      <c r="D173">
        <v>406500</v>
      </c>
      <c r="E173" t="s">
        <v>241</v>
      </c>
      <c r="F173" t="s">
        <v>242</v>
      </c>
      <c r="G173" t="s">
        <v>112</v>
      </c>
      <c r="H173" t="s">
        <v>136</v>
      </c>
      <c r="I173" t="s">
        <v>123</v>
      </c>
      <c r="J173" t="s">
        <v>124</v>
      </c>
      <c r="K173" t="s">
        <v>243</v>
      </c>
      <c r="L173" t="s">
        <v>150</v>
      </c>
      <c r="M173" t="s">
        <v>118</v>
      </c>
      <c r="N173" t="s">
        <v>151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s="15">
        <v>0</v>
      </c>
      <c r="AF173" s="15">
        <v>0</v>
      </c>
      <c r="AG173" s="15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15">
        <v>0</v>
      </c>
      <c r="AS173" s="15">
        <v>0</v>
      </c>
      <c r="AT173" s="15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I173" s="15">
        <v>0</v>
      </c>
      <c r="CJ173" s="15">
        <v>0</v>
      </c>
      <c r="CK173" s="15">
        <v>0</v>
      </c>
      <c r="CL173" s="21">
        <f>SUM(AE173,AR173,CI173)</f>
        <v>0</v>
      </c>
      <c r="CM173" s="21">
        <f>SUM(AF173,AS173,CJ173)</f>
        <v>0</v>
      </c>
      <c r="CN173" s="21">
        <f>SUM(AG173,AT173,CK173)</f>
        <v>0</v>
      </c>
    </row>
    <row r="174" spans="1:92" x14ac:dyDescent="0.3">
      <c r="A174" s="16" t="s">
        <v>403</v>
      </c>
      <c r="B174" t="s">
        <v>108</v>
      </c>
      <c r="C174" t="s">
        <v>238</v>
      </c>
      <c r="D174">
        <v>406512</v>
      </c>
      <c r="E174" t="s">
        <v>246</v>
      </c>
      <c r="F174" t="s">
        <v>247</v>
      </c>
      <c r="G174" t="s">
        <v>112</v>
      </c>
      <c r="H174" t="s">
        <v>136</v>
      </c>
      <c r="I174" t="s">
        <v>123</v>
      </c>
      <c r="J174" t="s">
        <v>124</v>
      </c>
      <c r="K174" t="s">
        <v>116</v>
      </c>
      <c r="L174" t="s">
        <v>150</v>
      </c>
      <c r="M174" t="s">
        <v>118</v>
      </c>
      <c r="N174" t="s">
        <v>151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s="15">
        <v>0</v>
      </c>
      <c r="AF174" s="15">
        <v>0</v>
      </c>
      <c r="AG174" s="15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15">
        <v>0</v>
      </c>
      <c r="AS174" s="15">
        <v>0</v>
      </c>
      <c r="AT174" s="15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I174" s="15">
        <v>0</v>
      </c>
      <c r="CJ174" s="15">
        <v>0</v>
      </c>
      <c r="CK174" s="15">
        <v>0</v>
      </c>
      <c r="CL174" s="21">
        <f>SUM(AE174,AR174,CI174)</f>
        <v>0</v>
      </c>
      <c r="CM174" s="21">
        <f>SUM(AF174,AS174,CJ174)</f>
        <v>0</v>
      </c>
      <c r="CN174" s="21">
        <f>SUM(AG174,AT174,CK174)</f>
        <v>0</v>
      </c>
    </row>
    <row r="175" spans="1:92" x14ac:dyDescent="0.3">
      <c r="A175" s="16" t="s">
        <v>403</v>
      </c>
      <c r="B175" t="s">
        <v>108</v>
      </c>
      <c r="C175" t="s">
        <v>238</v>
      </c>
      <c r="D175">
        <v>406570</v>
      </c>
      <c r="E175" t="s">
        <v>248</v>
      </c>
      <c r="F175" t="s">
        <v>249</v>
      </c>
      <c r="G175" t="s">
        <v>112</v>
      </c>
      <c r="H175" t="s">
        <v>136</v>
      </c>
      <c r="I175" t="s">
        <v>123</v>
      </c>
      <c r="J175" t="s">
        <v>124</v>
      </c>
      <c r="K175" t="s">
        <v>116</v>
      </c>
      <c r="L175" t="s">
        <v>150</v>
      </c>
      <c r="M175" t="s">
        <v>118</v>
      </c>
      <c r="N175" t="s">
        <v>151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s="15">
        <v>0</v>
      </c>
      <c r="AF175" s="15">
        <v>0</v>
      </c>
      <c r="AG175" s="1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15">
        <v>0</v>
      </c>
      <c r="AS175" s="15">
        <v>0</v>
      </c>
      <c r="AT175" s="1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I175" s="15">
        <v>0</v>
      </c>
      <c r="CJ175" s="15">
        <v>0</v>
      </c>
      <c r="CK175" s="15">
        <v>0</v>
      </c>
      <c r="CL175" s="21">
        <f>SUM(AE175,AR175,CI175)</f>
        <v>0</v>
      </c>
      <c r="CM175" s="21">
        <f>SUM(AF175,AS175,CJ175)</f>
        <v>0</v>
      </c>
      <c r="CN175" s="21">
        <f>SUM(AG175,AT175,CK175)</f>
        <v>0</v>
      </c>
    </row>
    <row r="176" spans="1:92" x14ac:dyDescent="0.3">
      <c r="A176" s="16" t="s">
        <v>403</v>
      </c>
      <c r="B176" t="s">
        <v>108</v>
      </c>
      <c r="C176" t="s">
        <v>238</v>
      </c>
      <c r="D176">
        <v>482522</v>
      </c>
      <c r="E176" t="s">
        <v>250</v>
      </c>
      <c r="F176" t="s">
        <v>251</v>
      </c>
      <c r="G176" t="s">
        <v>112</v>
      </c>
      <c r="H176" t="s">
        <v>136</v>
      </c>
      <c r="I176" t="s">
        <v>123</v>
      </c>
      <c r="J176" t="s">
        <v>124</v>
      </c>
      <c r="K176" t="s">
        <v>116</v>
      </c>
      <c r="L176" t="s">
        <v>150</v>
      </c>
      <c r="M176" t="s">
        <v>118</v>
      </c>
      <c r="N176" t="s">
        <v>151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s="15">
        <v>0</v>
      </c>
      <c r="AF176" s="15">
        <v>0</v>
      </c>
      <c r="AG176" s="15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15">
        <v>0</v>
      </c>
      <c r="AS176" s="15">
        <v>0</v>
      </c>
      <c r="AT176" s="15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I176" s="15">
        <v>0</v>
      </c>
      <c r="CJ176" s="15">
        <v>0</v>
      </c>
      <c r="CK176" s="15">
        <v>0</v>
      </c>
      <c r="CL176" s="21">
        <f>SUM(AE176,AR176,CI176)</f>
        <v>0</v>
      </c>
      <c r="CM176" s="21">
        <f>SUM(AF176,AS176,CJ176)</f>
        <v>0</v>
      </c>
      <c r="CN176" s="21">
        <f>SUM(AG176,AT176,CK176)</f>
        <v>0</v>
      </c>
    </row>
    <row r="177" spans="1:92" x14ac:dyDescent="0.3">
      <c r="A177" s="16" t="s">
        <v>403</v>
      </c>
      <c r="B177" t="s">
        <v>108</v>
      </c>
      <c r="C177" t="s">
        <v>238</v>
      </c>
      <c r="D177">
        <v>482620</v>
      </c>
      <c r="E177" t="s">
        <v>252</v>
      </c>
      <c r="F177" t="s">
        <v>253</v>
      </c>
      <c r="G177" t="s">
        <v>112</v>
      </c>
      <c r="H177" t="s">
        <v>136</v>
      </c>
      <c r="I177" t="s">
        <v>123</v>
      </c>
      <c r="J177" t="s">
        <v>124</v>
      </c>
      <c r="K177" t="s">
        <v>116</v>
      </c>
      <c r="L177" t="s">
        <v>162</v>
      </c>
      <c r="M177" t="s">
        <v>118</v>
      </c>
      <c r="N177" t="s">
        <v>163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s="15">
        <v>0</v>
      </c>
      <c r="AF177" s="15">
        <v>0</v>
      </c>
      <c r="AG177" s="15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15">
        <v>0</v>
      </c>
      <c r="AS177" s="15">
        <v>0</v>
      </c>
      <c r="AT177" s="15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I177" s="15">
        <v>0</v>
      </c>
      <c r="CJ177" s="15">
        <v>0</v>
      </c>
      <c r="CK177" s="15">
        <v>0</v>
      </c>
      <c r="CL177" s="21">
        <f>SUM(AE177,AR177,CI177)</f>
        <v>0</v>
      </c>
      <c r="CM177" s="21">
        <f>SUM(AF177,AS177,CJ177)</f>
        <v>0</v>
      </c>
      <c r="CN177" s="21">
        <f>SUM(AG177,AT177,CK177)</f>
        <v>0</v>
      </c>
    </row>
    <row r="178" spans="1:92" x14ac:dyDescent="0.3">
      <c r="A178" s="16" t="s">
        <v>403</v>
      </c>
      <c r="B178" t="s">
        <v>108</v>
      </c>
      <c r="C178" t="s">
        <v>256</v>
      </c>
      <c r="D178">
        <v>406018</v>
      </c>
      <c r="E178" t="s">
        <v>257</v>
      </c>
      <c r="F178" t="s">
        <v>258</v>
      </c>
      <c r="G178" t="s">
        <v>112</v>
      </c>
      <c r="H178" t="s">
        <v>174</v>
      </c>
      <c r="I178" t="s">
        <v>123</v>
      </c>
      <c r="J178" t="s">
        <v>124</v>
      </c>
      <c r="K178" t="s">
        <v>116</v>
      </c>
      <c r="L178" t="s">
        <v>125</v>
      </c>
      <c r="M178" t="s">
        <v>118</v>
      </c>
      <c r="N178" t="s">
        <v>126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s="15">
        <v>0</v>
      </c>
      <c r="AF178" s="15">
        <v>0</v>
      </c>
      <c r="AG178" s="15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15">
        <v>0</v>
      </c>
      <c r="AS178" s="15">
        <v>0</v>
      </c>
      <c r="AT178" s="15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I178" s="15">
        <v>0</v>
      </c>
      <c r="CJ178" s="15">
        <v>0</v>
      </c>
      <c r="CK178" s="15">
        <v>0</v>
      </c>
      <c r="CL178" s="21">
        <f>SUM(AE178,AR178,CI178)</f>
        <v>0</v>
      </c>
      <c r="CM178" s="21">
        <f>SUM(AF178,AS178,CJ178)</f>
        <v>0</v>
      </c>
      <c r="CN178" s="21">
        <f>SUM(AG178,AT178,CK178)</f>
        <v>0</v>
      </c>
    </row>
    <row r="179" spans="1:92" x14ac:dyDescent="0.3">
      <c r="A179" s="16" t="s">
        <v>403</v>
      </c>
      <c r="B179" t="s">
        <v>108</v>
      </c>
      <c r="C179" t="s">
        <v>256</v>
      </c>
      <c r="D179">
        <v>410229</v>
      </c>
      <c r="E179" t="s">
        <v>259</v>
      </c>
      <c r="F179" t="s">
        <v>260</v>
      </c>
      <c r="G179" t="s">
        <v>112</v>
      </c>
      <c r="H179" t="s">
        <v>261</v>
      </c>
      <c r="I179" t="s">
        <v>123</v>
      </c>
      <c r="J179" t="s">
        <v>124</v>
      </c>
      <c r="K179" t="s">
        <v>116</v>
      </c>
      <c r="L179" t="s">
        <v>125</v>
      </c>
      <c r="M179" t="s">
        <v>118</v>
      </c>
      <c r="N179" t="s">
        <v>126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s="15">
        <v>0</v>
      </c>
      <c r="AF179" s="15">
        <v>0</v>
      </c>
      <c r="AG179" s="15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15">
        <v>0</v>
      </c>
      <c r="AS179" s="15">
        <v>0</v>
      </c>
      <c r="AT179" s="15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I179" s="15">
        <v>0</v>
      </c>
      <c r="CJ179" s="15">
        <v>0</v>
      </c>
      <c r="CK179" s="15">
        <v>0</v>
      </c>
      <c r="CL179" s="21">
        <f>SUM(AE179,AR179,CI179)</f>
        <v>0</v>
      </c>
      <c r="CM179" s="21">
        <f>SUM(AF179,AS179,CJ179)</f>
        <v>0</v>
      </c>
      <c r="CN179" s="21">
        <f>SUM(AG179,AT179,CK179)</f>
        <v>0</v>
      </c>
    </row>
    <row r="180" spans="1:92" x14ac:dyDescent="0.3">
      <c r="A180" s="16" t="s">
        <v>403</v>
      </c>
      <c r="B180" t="s">
        <v>108</v>
      </c>
      <c r="C180" t="s">
        <v>262</v>
      </c>
      <c r="D180">
        <v>136520</v>
      </c>
      <c r="E180" t="s">
        <v>263</v>
      </c>
      <c r="F180" t="s">
        <v>410</v>
      </c>
      <c r="G180" t="s">
        <v>112</v>
      </c>
      <c r="H180" t="s">
        <v>138</v>
      </c>
      <c r="I180" t="s">
        <v>114</v>
      </c>
      <c r="J180" t="s">
        <v>115</v>
      </c>
      <c r="K180" t="s">
        <v>116</v>
      </c>
      <c r="L180" t="s">
        <v>162</v>
      </c>
      <c r="M180" t="s">
        <v>118</v>
      </c>
      <c r="N180" t="s">
        <v>163</v>
      </c>
      <c r="O180">
        <v>0</v>
      </c>
      <c r="P180">
        <v>0</v>
      </c>
      <c r="Q180">
        <v>0</v>
      </c>
      <c r="R180">
        <v>0</v>
      </c>
      <c r="S180">
        <v>4</v>
      </c>
      <c r="T180">
        <v>5</v>
      </c>
      <c r="U180">
        <v>1</v>
      </c>
      <c r="V180">
        <v>3</v>
      </c>
      <c r="W180">
        <v>3</v>
      </c>
      <c r="X180">
        <v>1</v>
      </c>
      <c r="Y180">
        <v>1</v>
      </c>
      <c r="Z180">
        <v>0</v>
      </c>
      <c r="AA180">
        <v>6</v>
      </c>
      <c r="AB180">
        <v>14</v>
      </c>
      <c r="AC180">
        <v>0</v>
      </c>
      <c r="AD180">
        <v>0</v>
      </c>
      <c r="AE180" s="15">
        <v>15</v>
      </c>
      <c r="AF180" s="15">
        <v>23</v>
      </c>
      <c r="AG180" s="15">
        <v>38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15">
        <v>0</v>
      </c>
      <c r="AS180" s="15">
        <v>0</v>
      </c>
      <c r="AT180" s="15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I180" s="15">
        <v>0</v>
      </c>
      <c r="CJ180" s="15">
        <v>0</v>
      </c>
      <c r="CK180" s="15">
        <v>0</v>
      </c>
      <c r="CL180" s="21">
        <f>SUM(AE180,AR180,CI180)</f>
        <v>15</v>
      </c>
      <c r="CM180" s="21">
        <f>SUM(AF180,AS180,CJ180)</f>
        <v>23</v>
      </c>
      <c r="CN180" s="21">
        <f>SUM(AG180,AT180,CK180)</f>
        <v>38</v>
      </c>
    </row>
    <row r="181" spans="1:92" x14ac:dyDescent="0.3">
      <c r="A181" s="16" t="s">
        <v>403</v>
      </c>
      <c r="B181" t="s">
        <v>108</v>
      </c>
      <c r="C181" t="s">
        <v>262</v>
      </c>
      <c r="D181">
        <v>136521</v>
      </c>
      <c r="E181" t="s">
        <v>265</v>
      </c>
      <c r="F181" t="s">
        <v>266</v>
      </c>
      <c r="G181" t="s">
        <v>112</v>
      </c>
      <c r="H181" t="s">
        <v>138</v>
      </c>
      <c r="I181" t="s">
        <v>114</v>
      </c>
      <c r="J181" t="s">
        <v>115</v>
      </c>
      <c r="K181" t="s">
        <v>116</v>
      </c>
      <c r="L181" t="s">
        <v>162</v>
      </c>
      <c r="M181" t="s">
        <v>118</v>
      </c>
      <c r="N181" t="s">
        <v>163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 s="15">
        <v>1</v>
      </c>
      <c r="AF181" s="15">
        <v>1</v>
      </c>
      <c r="AG181" s="15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15">
        <v>0</v>
      </c>
      <c r="AS181" s="15">
        <v>0</v>
      </c>
      <c r="AT181" s="15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I181" s="15">
        <v>0</v>
      </c>
      <c r="CJ181" s="15">
        <v>0</v>
      </c>
      <c r="CK181" s="15">
        <v>0</v>
      </c>
      <c r="CL181" s="21">
        <f>SUM(AE181,AR181,CI181)</f>
        <v>1</v>
      </c>
      <c r="CM181" s="21">
        <f>SUM(AF181,AS181,CJ181)</f>
        <v>1</v>
      </c>
      <c r="CN181" s="21">
        <f>SUM(AG181,AT181,CK181)</f>
        <v>2</v>
      </c>
    </row>
    <row r="182" spans="1:92" x14ac:dyDescent="0.3">
      <c r="A182" s="16" t="s">
        <v>403</v>
      </c>
      <c r="B182" t="s">
        <v>108</v>
      </c>
      <c r="C182" t="s">
        <v>262</v>
      </c>
      <c r="D182">
        <v>136523</v>
      </c>
      <c r="E182" t="s">
        <v>267</v>
      </c>
      <c r="F182" t="s">
        <v>268</v>
      </c>
      <c r="G182" t="s">
        <v>112</v>
      </c>
      <c r="H182" t="s">
        <v>147</v>
      </c>
      <c r="I182" t="s">
        <v>114</v>
      </c>
      <c r="J182" t="s">
        <v>115</v>
      </c>
      <c r="K182" t="s">
        <v>116</v>
      </c>
      <c r="L182" t="s">
        <v>162</v>
      </c>
      <c r="M182" t="s">
        <v>118</v>
      </c>
      <c r="N182" t="s">
        <v>163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1</v>
      </c>
      <c r="Y182">
        <v>0</v>
      </c>
      <c r="Z182">
        <v>0</v>
      </c>
      <c r="AA182">
        <v>4</v>
      </c>
      <c r="AB182">
        <v>13</v>
      </c>
      <c r="AC182">
        <v>0</v>
      </c>
      <c r="AD182">
        <v>0</v>
      </c>
      <c r="AE182" s="15">
        <v>6</v>
      </c>
      <c r="AF182" s="15">
        <v>14</v>
      </c>
      <c r="AG182" s="15">
        <v>20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15">
        <v>0</v>
      </c>
      <c r="AS182" s="15">
        <v>0</v>
      </c>
      <c r="AT182" s="15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I182" s="15">
        <v>0</v>
      </c>
      <c r="CJ182" s="15">
        <v>0</v>
      </c>
      <c r="CK182" s="15">
        <v>0</v>
      </c>
      <c r="CL182" s="21">
        <f>SUM(AE182,AR182,CI182)</f>
        <v>6</v>
      </c>
      <c r="CM182" s="21">
        <f>SUM(AF182,AS182,CJ182)</f>
        <v>14</v>
      </c>
      <c r="CN182" s="21">
        <f>SUM(AG182,AT182,CK182)</f>
        <v>20</v>
      </c>
    </row>
    <row r="183" spans="1:92" x14ac:dyDescent="0.3">
      <c r="A183" s="16" t="s">
        <v>403</v>
      </c>
      <c r="B183" t="s">
        <v>108</v>
      </c>
      <c r="C183" t="s">
        <v>262</v>
      </c>
      <c r="D183">
        <v>136525</v>
      </c>
      <c r="E183" t="s">
        <v>269</v>
      </c>
      <c r="F183" t="s">
        <v>270</v>
      </c>
      <c r="G183" t="s">
        <v>112</v>
      </c>
      <c r="H183" t="s">
        <v>147</v>
      </c>
      <c r="I183" t="s">
        <v>114</v>
      </c>
      <c r="J183" t="s">
        <v>115</v>
      </c>
      <c r="K183" t="s">
        <v>116</v>
      </c>
      <c r="L183" t="s">
        <v>162</v>
      </c>
      <c r="M183" t="s">
        <v>118</v>
      </c>
      <c r="N183" t="s">
        <v>163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2</v>
      </c>
      <c r="Z183">
        <v>1</v>
      </c>
      <c r="AA183">
        <v>2</v>
      </c>
      <c r="AB183">
        <v>6</v>
      </c>
      <c r="AC183">
        <v>0</v>
      </c>
      <c r="AD183">
        <v>0</v>
      </c>
      <c r="AE183" s="15">
        <v>4</v>
      </c>
      <c r="AF183" s="15">
        <v>9</v>
      </c>
      <c r="AG183" s="15">
        <v>13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15">
        <v>0</v>
      </c>
      <c r="AS183" s="15">
        <v>0</v>
      </c>
      <c r="AT183" s="15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I183" s="15">
        <v>0</v>
      </c>
      <c r="CJ183" s="15">
        <v>0</v>
      </c>
      <c r="CK183" s="15">
        <v>0</v>
      </c>
      <c r="CL183" s="21">
        <f>SUM(AE183,AR183,CI183)</f>
        <v>4</v>
      </c>
      <c r="CM183" s="21">
        <f>SUM(AF183,AS183,CJ183)</f>
        <v>9</v>
      </c>
      <c r="CN183" s="21">
        <f>SUM(AG183,AT183,CK183)</f>
        <v>13</v>
      </c>
    </row>
    <row r="184" spans="1:92" x14ac:dyDescent="0.3">
      <c r="A184" s="16" t="s">
        <v>403</v>
      </c>
      <c r="B184" t="s">
        <v>108</v>
      </c>
      <c r="C184" t="s">
        <v>262</v>
      </c>
      <c r="D184">
        <v>406533</v>
      </c>
      <c r="E184" t="s">
        <v>271</v>
      </c>
      <c r="F184" t="s">
        <v>272</v>
      </c>
      <c r="G184" t="s">
        <v>112</v>
      </c>
      <c r="H184" t="s">
        <v>129</v>
      </c>
      <c r="I184" t="s">
        <v>123</v>
      </c>
      <c r="J184" t="s">
        <v>130</v>
      </c>
      <c r="K184" t="s">
        <v>116</v>
      </c>
      <c r="L184" t="s">
        <v>125</v>
      </c>
      <c r="M184" t="s">
        <v>118</v>
      </c>
      <c r="N184" t="s">
        <v>126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s="15">
        <v>0</v>
      </c>
      <c r="AF184" s="15">
        <v>0</v>
      </c>
      <c r="AG184" s="15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15">
        <v>0</v>
      </c>
      <c r="AS184" s="15">
        <v>0</v>
      </c>
      <c r="AT184" s="15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I184" s="15">
        <v>0</v>
      </c>
      <c r="CJ184" s="15">
        <v>0</v>
      </c>
      <c r="CK184" s="15">
        <v>0</v>
      </c>
      <c r="CL184" s="21">
        <f>SUM(AE184,AR184,CI184)</f>
        <v>0</v>
      </c>
      <c r="CM184" s="21">
        <f>SUM(AF184,AS184,CJ184)</f>
        <v>0</v>
      </c>
      <c r="CN184" s="21">
        <f>SUM(AG184,AT184,CK184)</f>
        <v>0</v>
      </c>
    </row>
    <row r="185" spans="1:92" x14ac:dyDescent="0.3">
      <c r="A185" s="16" t="s">
        <v>403</v>
      </c>
      <c r="B185" t="s">
        <v>108</v>
      </c>
      <c r="C185" t="s">
        <v>262</v>
      </c>
      <c r="D185">
        <v>408500</v>
      </c>
      <c r="E185" t="s">
        <v>273</v>
      </c>
      <c r="F185" t="s">
        <v>274</v>
      </c>
      <c r="G185" t="s">
        <v>112</v>
      </c>
      <c r="H185" t="s">
        <v>122</v>
      </c>
      <c r="I185" t="s">
        <v>123</v>
      </c>
      <c r="J185" t="s">
        <v>124</v>
      </c>
      <c r="K185" t="s">
        <v>116</v>
      </c>
      <c r="L185" t="s">
        <v>214</v>
      </c>
      <c r="M185" t="s">
        <v>118</v>
      </c>
      <c r="N185" t="s">
        <v>163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s="15">
        <v>0</v>
      </c>
      <c r="AF185" s="15">
        <v>0</v>
      </c>
      <c r="AG185" s="1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15">
        <v>0</v>
      </c>
      <c r="AS185" s="15">
        <v>0</v>
      </c>
      <c r="AT185" s="1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I185" s="15">
        <v>0</v>
      </c>
      <c r="CJ185" s="15">
        <v>0</v>
      </c>
      <c r="CK185" s="15">
        <v>0</v>
      </c>
      <c r="CL185" s="21">
        <f>SUM(AE185,AR185,CI185)</f>
        <v>0</v>
      </c>
      <c r="CM185" s="21">
        <f>SUM(AF185,AS185,CJ185)</f>
        <v>0</v>
      </c>
      <c r="CN185" s="21">
        <f>SUM(AG185,AT185,CK185)</f>
        <v>0</v>
      </c>
    </row>
    <row r="186" spans="1:92" x14ac:dyDescent="0.3">
      <c r="A186" s="16" t="s">
        <v>403</v>
      </c>
      <c r="B186" t="s">
        <v>108</v>
      </c>
      <c r="C186" t="s">
        <v>262</v>
      </c>
      <c r="D186">
        <v>482834</v>
      </c>
      <c r="E186" t="s">
        <v>277</v>
      </c>
      <c r="F186" t="s">
        <v>278</v>
      </c>
      <c r="G186" t="s">
        <v>112</v>
      </c>
      <c r="H186" t="s">
        <v>147</v>
      </c>
      <c r="I186" t="s">
        <v>123</v>
      </c>
      <c r="J186" t="s">
        <v>124</v>
      </c>
      <c r="K186" t="s">
        <v>116</v>
      </c>
      <c r="L186" t="s">
        <v>162</v>
      </c>
      <c r="M186" t="s">
        <v>118</v>
      </c>
      <c r="N186" t="s">
        <v>163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s="15">
        <v>0</v>
      </c>
      <c r="AF186" s="15">
        <v>0</v>
      </c>
      <c r="AG186" s="15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15">
        <v>0</v>
      </c>
      <c r="AS186" s="15">
        <v>0</v>
      </c>
      <c r="AT186" s="15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I186" s="15">
        <v>0</v>
      </c>
      <c r="CJ186" s="15">
        <v>0</v>
      </c>
      <c r="CK186" s="15">
        <v>0</v>
      </c>
      <c r="CL186" s="21">
        <f>SUM(AE186,AR186,CI186)</f>
        <v>0</v>
      </c>
      <c r="CM186" s="21">
        <f>SUM(AF186,AS186,CJ186)</f>
        <v>0</v>
      </c>
      <c r="CN186" s="21">
        <f>SUM(AG186,AT186,CK186)</f>
        <v>0</v>
      </c>
    </row>
    <row r="187" spans="1:92" x14ac:dyDescent="0.3">
      <c r="A187" s="16" t="s">
        <v>403</v>
      </c>
      <c r="B187" t="s">
        <v>108</v>
      </c>
      <c r="C187" t="s">
        <v>262</v>
      </c>
      <c r="D187">
        <v>482835</v>
      </c>
      <c r="E187" t="s">
        <v>279</v>
      </c>
      <c r="F187" t="s">
        <v>280</v>
      </c>
      <c r="G187" t="s">
        <v>112</v>
      </c>
      <c r="H187" t="s">
        <v>147</v>
      </c>
      <c r="I187" t="s">
        <v>123</v>
      </c>
      <c r="J187" t="s">
        <v>124</v>
      </c>
      <c r="K187" t="s">
        <v>116</v>
      </c>
      <c r="L187" t="s">
        <v>162</v>
      </c>
      <c r="M187" t="s">
        <v>118</v>
      </c>
      <c r="N187" t="s">
        <v>163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s="15">
        <v>0</v>
      </c>
      <c r="AF187" s="15">
        <v>0</v>
      </c>
      <c r="AG187" s="15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15">
        <v>0</v>
      </c>
      <c r="AS187" s="15">
        <v>0</v>
      </c>
      <c r="AT187" s="15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I187" s="15">
        <v>0</v>
      </c>
      <c r="CJ187" s="15">
        <v>0</v>
      </c>
      <c r="CK187" s="15">
        <v>0</v>
      </c>
      <c r="CL187" s="21">
        <f>SUM(AE187,AR187,CI187)</f>
        <v>0</v>
      </c>
      <c r="CM187" s="21">
        <f>SUM(AF187,AS187,CJ187)</f>
        <v>0</v>
      </c>
      <c r="CN187" s="21">
        <f>SUM(AG187,AT187,CK187)</f>
        <v>0</v>
      </c>
    </row>
    <row r="188" spans="1:92" x14ac:dyDescent="0.3">
      <c r="A188" s="16" t="s">
        <v>403</v>
      </c>
      <c r="B188" t="s">
        <v>108</v>
      </c>
      <c r="C188" t="s">
        <v>262</v>
      </c>
      <c r="D188">
        <v>482916</v>
      </c>
      <c r="E188" t="s">
        <v>281</v>
      </c>
      <c r="F188" t="s">
        <v>282</v>
      </c>
      <c r="G188" t="s">
        <v>112</v>
      </c>
      <c r="H188" t="s">
        <v>174</v>
      </c>
      <c r="I188" t="s">
        <v>123</v>
      </c>
      <c r="J188" t="s">
        <v>124</v>
      </c>
      <c r="K188" t="s">
        <v>116</v>
      </c>
      <c r="L188" t="s">
        <v>214</v>
      </c>
      <c r="M188" t="s">
        <v>118</v>
      </c>
      <c r="N188" t="s">
        <v>163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s="15">
        <v>0</v>
      </c>
      <c r="AF188" s="15">
        <v>0</v>
      </c>
      <c r="AG188" s="15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15">
        <v>0</v>
      </c>
      <c r="AS188" s="15">
        <v>0</v>
      </c>
      <c r="AT188" s="15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I188" s="15">
        <v>0</v>
      </c>
      <c r="CJ188" s="15">
        <v>0</v>
      </c>
      <c r="CK188" s="15">
        <v>0</v>
      </c>
      <c r="CL188" s="21">
        <f>SUM(AE188,AR188,CI188)</f>
        <v>0</v>
      </c>
      <c r="CM188" s="21">
        <f>SUM(AF188,AS188,CJ188)</f>
        <v>0</v>
      </c>
      <c r="CN188" s="21">
        <f>SUM(AG188,AT188,CK188)</f>
        <v>0</v>
      </c>
    </row>
    <row r="189" spans="1:92" x14ac:dyDescent="0.3">
      <c r="A189" s="16" t="s">
        <v>403</v>
      </c>
      <c r="B189" t="s">
        <v>108</v>
      </c>
      <c r="C189" t="s">
        <v>262</v>
      </c>
      <c r="D189">
        <v>482929</v>
      </c>
      <c r="E189" t="s">
        <v>283</v>
      </c>
      <c r="F189" t="s">
        <v>284</v>
      </c>
      <c r="G189" t="s">
        <v>112</v>
      </c>
      <c r="H189" t="s">
        <v>138</v>
      </c>
      <c r="I189" t="s">
        <v>123</v>
      </c>
      <c r="J189" t="s">
        <v>124</v>
      </c>
      <c r="K189" t="s">
        <v>116</v>
      </c>
      <c r="L189" t="s">
        <v>150</v>
      </c>
      <c r="M189" t="s">
        <v>118</v>
      </c>
      <c r="N189" t="s">
        <v>151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s="15">
        <v>0</v>
      </c>
      <c r="AF189" s="15">
        <v>0</v>
      </c>
      <c r="AG189" s="15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15">
        <v>0</v>
      </c>
      <c r="AS189" s="15">
        <v>0</v>
      </c>
      <c r="AT189" s="15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I189" s="15">
        <v>0</v>
      </c>
      <c r="CJ189" s="15">
        <v>0</v>
      </c>
      <c r="CK189" s="15">
        <v>0</v>
      </c>
      <c r="CL189" s="21">
        <f>SUM(AE189,AR189,CI189)</f>
        <v>0</v>
      </c>
      <c r="CM189" s="21">
        <f>SUM(AF189,AS189,CJ189)</f>
        <v>0</v>
      </c>
      <c r="CN189" s="21">
        <f>SUM(AG189,AT189,CK189)</f>
        <v>0</v>
      </c>
    </row>
    <row r="190" spans="1:92" x14ac:dyDescent="0.3">
      <c r="A190" s="16" t="s">
        <v>403</v>
      </c>
      <c r="B190" t="s">
        <v>108</v>
      </c>
      <c r="C190" t="s">
        <v>262</v>
      </c>
      <c r="D190">
        <v>482941</v>
      </c>
      <c r="E190" t="s">
        <v>285</v>
      </c>
      <c r="F190" t="s">
        <v>286</v>
      </c>
      <c r="G190" t="s">
        <v>112</v>
      </c>
      <c r="H190" t="s">
        <v>147</v>
      </c>
      <c r="I190" t="s">
        <v>123</v>
      </c>
      <c r="J190" t="s">
        <v>124</v>
      </c>
      <c r="K190" t="s">
        <v>116</v>
      </c>
      <c r="L190" t="s">
        <v>156</v>
      </c>
      <c r="M190" t="s">
        <v>118</v>
      </c>
      <c r="N190" t="s">
        <v>157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s="15">
        <v>0</v>
      </c>
      <c r="AF190" s="15">
        <v>0</v>
      </c>
      <c r="AG190" s="15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15">
        <v>0</v>
      </c>
      <c r="AS190" s="15">
        <v>0</v>
      </c>
      <c r="AT190" s="15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I190" s="15">
        <v>0</v>
      </c>
      <c r="CJ190" s="15">
        <v>0</v>
      </c>
      <c r="CK190" s="15">
        <v>0</v>
      </c>
      <c r="CL190" s="21">
        <f>SUM(AE190,AR190,CI190)</f>
        <v>0</v>
      </c>
      <c r="CM190" s="21">
        <f>SUM(AF190,AS190,CJ190)</f>
        <v>0</v>
      </c>
      <c r="CN190" s="21">
        <f>SUM(AG190,AT190,CK190)</f>
        <v>0</v>
      </c>
    </row>
    <row r="191" spans="1:92" x14ac:dyDescent="0.3">
      <c r="A191" s="16" t="s">
        <v>403</v>
      </c>
      <c r="B191" t="s">
        <v>108</v>
      </c>
      <c r="C191" t="s">
        <v>289</v>
      </c>
      <c r="D191">
        <v>136527</v>
      </c>
      <c r="E191" t="s">
        <v>290</v>
      </c>
      <c r="F191" t="s">
        <v>291</v>
      </c>
      <c r="G191" t="s">
        <v>112</v>
      </c>
      <c r="H191" t="s">
        <v>174</v>
      </c>
      <c r="I191" t="s">
        <v>114</v>
      </c>
      <c r="J191" t="s">
        <v>115</v>
      </c>
      <c r="K191" t="s">
        <v>116</v>
      </c>
      <c r="L191" t="s">
        <v>162</v>
      </c>
      <c r="M191" t="s">
        <v>118</v>
      </c>
      <c r="N191" t="s">
        <v>163</v>
      </c>
      <c r="O191">
        <v>2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 s="15">
        <v>5</v>
      </c>
      <c r="AF191" s="15">
        <v>1</v>
      </c>
      <c r="AG191" s="15">
        <v>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15">
        <v>0</v>
      </c>
      <c r="AS191" s="15">
        <v>0</v>
      </c>
      <c r="AT191" s="15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I191" s="15">
        <v>0</v>
      </c>
      <c r="CJ191" s="15">
        <v>0</v>
      </c>
      <c r="CK191" s="15">
        <v>0</v>
      </c>
      <c r="CL191" s="21">
        <f>SUM(AE191,AR191,CI191)</f>
        <v>5</v>
      </c>
      <c r="CM191" s="21">
        <f>SUM(AF191,AS191,CJ191)</f>
        <v>1</v>
      </c>
      <c r="CN191" s="21">
        <f>SUM(AG191,AT191,CK191)</f>
        <v>6</v>
      </c>
    </row>
    <row r="192" spans="1:92" x14ac:dyDescent="0.3">
      <c r="A192" s="16" t="s">
        <v>403</v>
      </c>
      <c r="B192" t="s">
        <v>108</v>
      </c>
      <c r="C192" t="s">
        <v>289</v>
      </c>
      <c r="D192">
        <v>136528</v>
      </c>
      <c r="E192" t="s">
        <v>292</v>
      </c>
      <c r="F192" t="s">
        <v>293</v>
      </c>
      <c r="G192" t="s">
        <v>112</v>
      </c>
      <c r="H192" t="s">
        <v>133</v>
      </c>
      <c r="I192" t="s">
        <v>114</v>
      </c>
      <c r="J192" t="s">
        <v>115</v>
      </c>
      <c r="K192" t="s">
        <v>116</v>
      </c>
      <c r="L192" t="s">
        <v>162</v>
      </c>
      <c r="M192" t="s">
        <v>118</v>
      </c>
      <c r="N192" t="s">
        <v>163</v>
      </c>
      <c r="O192">
        <v>6</v>
      </c>
      <c r="P192">
        <v>6</v>
      </c>
      <c r="Q192">
        <v>24</v>
      </c>
      <c r="R192">
        <v>12</v>
      </c>
      <c r="S192">
        <v>14</v>
      </c>
      <c r="T192">
        <v>12</v>
      </c>
      <c r="U192">
        <v>44</v>
      </c>
      <c r="V192">
        <v>38</v>
      </c>
      <c r="W192">
        <v>66</v>
      </c>
      <c r="X192">
        <v>54</v>
      </c>
      <c r="Y192">
        <v>60</v>
      </c>
      <c r="Z192">
        <v>71</v>
      </c>
      <c r="AA192">
        <v>117</v>
      </c>
      <c r="AB192">
        <v>102</v>
      </c>
      <c r="AC192">
        <v>3</v>
      </c>
      <c r="AD192">
        <v>4</v>
      </c>
      <c r="AE192" s="15">
        <v>334</v>
      </c>
      <c r="AF192" s="15">
        <v>299</v>
      </c>
      <c r="AG192" s="15">
        <v>633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15">
        <v>0</v>
      </c>
      <c r="AS192" s="15">
        <v>0</v>
      </c>
      <c r="AT192" s="15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I192" s="15">
        <v>0</v>
      </c>
      <c r="CJ192" s="15">
        <v>0</v>
      </c>
      <c r="CK192" s="15">
        <v>0</v>
      </c>
      <c r="CL192" s="21">
        <f>SUM(AE192,AR192,CI192)</f>
        <v>334</v>
      </c>
      <c r="CM192" s="21">
        <f>SUM(AF192,AS192,CJ192)</f>
        <v>299</v>
      </c>
      <c r="CN192" s="21">
        <f>SUM(AG192,AT192,CK192)</f>
        <v>633</v>
      </c>
    </row>
    <row r="193" spans="1:92" x14ac:dyDescent="0.3">
      <c r="A193" s="16" t="s">
        <v>403</v>
      </c>
      <c r="B193" t="s">
        <v>108</v>
      </c>
      <c r="C193" t="s">
        <v>289</v>
      </c>
      <c r="D193">
        <v>136529</v>
      </c>
      <c r="E193" t="s">
        <v>294</v>
      </c>
      <c r="F193" t="s">
        <v>295</v>
      </c>
      <c r="G193" t="s">
        <v>112</v>
      </c>
      <c r="H193" t="s">
        <v>113</v>
      </c>
      <c r="I193" t="s">
        <v>114</v>
      </c>
      <c r="J193" t="s">
        <v>115</v>
      </c>
      <c r="K193" t="s">
        <v>116</v>
      </c>
      <c r="L193" t="s">
        <v>162</v>
      </c>
      <c r="M193" t="s">
        <v>118</v>
      </c>
      <c r="N193" t="s">
        <v>163</v>
      </c>
      <c r="O193">
        <v>0</v>
      </c>
      <c r="P193">
        <v>1</v>
      </c>
      <c r="Q193">
        <v>2</v>
      </c>
      <c r="R193">
        <v>1</v>
      </c>
      <c r="S193">
        <v>10</v>
      </c>
      <c r="T193">
        <v>0</v>
      </c>
      <c r="U193">
        <v>9</v>
      </c>
      <c r="V193">
        <v>6</v>
      </c>
      <c r="W193">
        <v>2</v>
      </c>
      <c r="X193">
        <v>3</v>
      </c>
      <c r="Y193">
        <v>18</v>
      </c>
      <c r="Z193">
        <v>18</v>
      </c>
      <c r="AA193">
        <v>4</v>
      </c>
      <c r="AB193">
        <v>9</v>
      </c>
      <c r="AC193">
        <v>0</v>
      </c>
      <c r="AD193">
        <v>0</v>
      </c>
      <c r="AE193" s="15">
        <v>45</v>
      </c>
      <c r="AF193" s="15">
        <v>38</v>
      </c>
      <c r="AG193" s="15">
        <v>83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15">
        <v>0</v>
      </c>
      <c r="AS193" s="15">
        <v>0</v>
      </c>
      <c r="AT193" s="15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I193" s="15">
        <v>0</v>
      </c>
      <c r="CJ193" s="15">
        <v>0</v>
      </c>
      <c r="CK193" s="15">
        <v>0</v>
      </c>
      <c r="CL193" s="21">
        <f>SUM(AE193,AR193,CI193)</f>
        <v>45</v>
      </c>
      <c r="CM193" s="21">
        <f>SUM(AF193,AS193,CJ193)</f>
        <v>38</v>
      </c>
      <c r="CN193" s="21">
        <f>SUM(AG193,AT193,CK193)</f>
        <v>83</v>
      </c>
    </row>
    <row r="194" spans="1:92" x14ac:dyDescent="0.3">
      <c r="A194" s="16" t="s">
        <v>403</v>
      </c>
      <c r="B194" t="s">
        <v>108</v>
      </c>
      <c r="C194" t="s">
        <v>289</v>
      </c>
      <c r="D194">
        <v>136530</v>
      </c>
      <c r="E194" t="s">
        <v>296</v>
      </c>
      <c r="F194" t="s">
        <v>297</v>
      </c>
      <c r="G194" t="s">
        <v>112</v>
      </c>
      <c r="H194" t="s">
        <v>261</v>
      </c>
      <c r="I194" t="s">
        <v>114</v>
      </c>
      <c r="J194" t="s">
        <v>115</v>
      </c>
      <c r="K194" t="s">
        <v>116</v>
      </c>
      <c r="L194" t="s">
        <v>162</v>
      </c>
      <c r="M194" t="s">
        <v>118</v>
      </c>
      <c r="N194" t="s">
        <v>163</v>
      </c>
      <c r="O194">
        <v>0</v>
      </c>
      <c r="P194">
        <v>0</v>
      </c>
      <c r="Q194">
        <v>1</v>
      </c>
      <c r="R194">
        <v>1</v>
      </c>
      <c r="S194">
        <v>6</v>
      </c>
      <c r="T194">
        <v>1</v>
      </c>
      <c r="U194">
        <v>4</v>
      </c>
      <c r="V194">
        <v>0</v>
      </c>
      <c r="W194">
        <v>3</v>
      </c>
      <c r="X194">
        <v>0</v>
      </c>
      <c r="Y194">
        <v>0</v>
      </c>
      <c r="Z194">
        <v>0</v>
      </c>
      <c r="AA194">
        <v>2</v>
      </c>
      <c r="AB194">
        <v>2</v>
      </c>
      <c r="AC194">
        <v>0</v>
      </c>
      <c r="AD194">
        <v>0</v>
      </c>
      <c r="AE194" s="15">
        <v>16</v>
      </c>
      <c r="AF194" s="15">
        <v>4</v>
      </c>
      <c r="AG194" s="15">
        <v>20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15">
        <v>0</v>
      </c>
      <c r="AS194" s="15">
        <v>0</v>
      </c>
      <c r="AT194" s="15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I194" s="15">
        <v>0</v>
      </c>
      <c r="CJ194" s="15">
        <v>0</v>
      </c>
      <c r="CK194" s="15">
        <v>0</v>
      </c>
      <c r="CL194" s="21">
        <f>SUM(AE194,AR194,CI194)</f>
        <v>16</v>
      </c>
      <c r="CM194" s="21">
        <f>SUM(AF194,AS194,CJ194)</f>
        <v>4</v>
      </c>
      <c r="CN194" s="21">
        <f>SUM(AG194,AT194,CK194)</f>
        <v>20</v>
      </c>
    </row>
    <row r="195" spans="1:92" x14ac:dyDescent="0.3">
      <c r="A195" s="16" t="s">
        <v>403</v>
      </c>
      <c r="B195" t="s">
        <v>108</v>
      </c>
      <c r="C195" t="s">
        <v>289</v>
      </c>
      <c r="D195">
        <v>136538</v>
      </c>
      <c r="E195" t="s">
        <v>298</v>
      </c>
      <c r="F195" t="s">
        <v>299</v>
      </c>
      <c r="G195" t="s">
        <v>112</v>
      </c>
      <c r="H195" t="s">
        <v>169</v>
      </c>
      <c r="I195" t="s">
        <v>114</v>
      </c>
      <c r="J195" t="s">
        <v>115</v>
      </c>
      <c r="K195" t="s">
        <v>116</v>
      </c>
      <c r="L195" t="s">
        <v>162</v>
      </c>
      <c r="M195" t="s">
        <v>118</v>
      </c>
      <c r="N195" t="s">
        <v>163</v>
      </c>
      <c r="O195">
        <v>1</v>
      </c>
      <c r="P195">
        <v>3</v>
      </c>
      <c r="Q195">
        <v>3</v>
      </c>
      <c r="R195">
        <v>5</v>
      </c>
      <c r="S195">
        <v>3</v>
      </c>
      <c r="T195">
        <v>1</v>
      </c>
      <c r="U195">
        <v>2</v>
      </c>
      <c r="V195">
        <v>4</v>
      </c>
      <c r="W195">
        <v>8</v>
      </c>
      <c r="X195">
        <v>7</v>
      </c>
      <c r="Y195">
        <v>17</v>
      </c>
      <c r="Z195">
        <v>17</v>
      </c>
      <c r="AA195">
        <v>16</v>
      </c>
      <c r="AB195">
        <v>20</v>
      </c>
      <c r="AC195">
        <v>1</v>
      </c>
      <c r="AD195">
        <v>0</v>
      </c>
      <c r="AE195" s="15">
        <v>51</v>
      </c>
      <c r="AF195" s="15">
        <v>57</v>
      </c>
      <c r="AG195" s="15">
        <v>108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15">
        <v>0</v>
      </c>
      <c r="AS195" s="15">
        <v>0</v>
      </c>
      <c r="AT195" s="1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I195" s="15">
        <v>0</v>
      </c>
      <c r="CJ195" s="15">
        <v>0</v>
      </c>
      <c r="CK195" s="15">
        <v>0</v>
      </c>
      <c r="CL195" s="21">
        <f>SUM(AE195,AR195,CI195)</f>
        <v>51</v>
      </c>
      <c r="CM195" s="21">
        <f>SUM(AF195,AS195,CJ195)</f>
        <v>57</v>
      </c>
      <c r="CN195" s="21">
        <f>SUM(AG195,AT195,CK195)</f>
        <v>108</v>
      </c>
    </row>
    <row r="196" spans="1:92" x14ac:dyDescent="0.3">
      <c r="A196" s="16" t="s">
        <v>403</v>
      </c>
      <c r="B196" t="s">
        <v>108</v>
      </c>
      <c r="C196" t="s">
        <v>289</v>
      </c>
      <c r="D196">
        <v>340697</v>
      </c>
      <c r="E196" t="s">
        <v>300</v>
      </c>
      <c r="F196" t="s">
        <v>301</v>
      </c>
      <c r="G196" t="s">
        <v>112</v>
      </c>
      <c r="H196" t="s">
        <v>133</v>
      </c>
      <c r="I196" t="s">
        <v>114</v>
      </c>
      <c r="J196" t="s">
        <v>115</v>
      </c>
      <c r="K196" t="s">
        <v>116</v>
      </c>
      <c r="L196" t="s">
        <v>125</v>
      </c>
      <c r="M196" t="s">
        <v>118</v>
      </c>
      <c r="N196" t="s">
        <v>126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s="15">
        <v>0</v>
      </c>
      <c r="AF196" s="15">
        <v>0</v>
      </c>
      <c r="AG196" s="15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15">
        <v>0</v>
      </c>
      <c r="AS196" s="15">
        <v>0</v>
      </c>
      <c r="AT196" s="15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I196" s="15">
        <v>0</v>
      </c>
      <c r="CJ196" s="15">
        <v>0</v>
      </c>
      <c r="CK196" s="15">
        <v>0</v>
      </c>
      <c r="CL196" s="21">
        <f>SUM(AE196,AR196,CI196)</f>
        <v>0</v>
      </c>
      <c r="CM196" s="21">
        <f>SUM(AF196,AS196,CJ196)</f>
        <v>0</v>
      </c>
      <c r="CN196" s="21">
        <f>SUM(AG196,AT196,CK196)</f>
        <v>0</v>
      </c>
    </row>
    <row r="197" spans="1:92" x14ac:dyDescent="0.3">
      <c r="A197" s="16" t="s">
        <v>403</v>
      </c>
      <c r="B197" t="s">
        <v>108</v>
      </c>
      <c r="C197" t="s">
        <v>289</v>
      </c>
      <c r="D197">
        <v>409329</v>
      </c>
      <c r="E197" t="s">
        <v>302</v>
      </c>
      <c r="F197" t="s">
        <v>303</v>
      </c>
      <c r="G197" t="s">
        <v>112</v>
      </c>
      <c r="H197" t="s">
        <v>217</v>
      </c>
      <c r="I197" t="s">
        <v>123</v>
      </c>
      <c r="J197" t="s">
        <v>124</v>
      </c>
      <c r="K197" t="s">
        <v>116</v>
      </c>
      <c r="L197" t="s">
        <v>162</v>
      </c>
      <c r="M197" t="s">
        <v>118</v>
      </c>
      <c r="N197" t="s">
        <v>163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s="15">
        <v>0</v>
      </c>
      <c r="AF197" s="15">
        <v>0</v>
      </c>
      <c r="AG197" s="15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15">
        <v>0</v>
      </c>
      <c r="AS197" s="15">
        <v>0</v>
      </c>
      <c r="AT197" s="15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I197" s="15">
        <v>0</v>
      </c>
      <c r="CJ197" s="15">
        <v>0</v>
      </c>
      <c r="CK197" s="15">
        <v>0</v>
      </c>
      <c r="CL197" s="21">
        <f>SUM(AE197,AR197,CI197)</f>
        <v>0</v>
      </c>
      <c r="CM197" s="21">
        <f>SUM(AF197,AS197,CJ197)</f>
        <v>0</v>
      </c>
      <c r="CN197" s="21">
        <f>SUM(AG197,AT197,CK197)</f>
        <v>0</v>
      </c>
    </row>
    <row r="198" spans="1:92" x14ac:dyDescent="0.3">
      <c r="A198" s="16" t="s">
        <v>403</v>
      </c>
      <c r="B198" t="s">
        <v>108</v>
      </c>
      <c r="C198" t="s">
        <v>289</v>
      </c>
      <c r="D198">
        <v>409731</v>
      </c>
      <c r="E198" t="s">
        <v>304</v>
      </c>
      <c r="F198" t="s">
        <v>305</v>
      </c>
      <c r="G198" t="s">
        <v>112</v>
      </c>
      <c r="H198" t="s">
        <v>113</v>
      </c>
      <c r="I198" t="s">
        <v>123</v>
      </c>
      <c r="J198" t="s">
        <v>124</v>
      </c>
      <c r="K198" t="s">
        <v>116</v>
      </c>
      <c r="L198" t="s">
        <v>162</v>
      </c>
      <c r="M198" t="s">
        <v>118</v>
      </c>
      <c r="N198" t="s">
        <v>163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s="15">
        <v>0</v>
      </c>
      <c r="AF198" s="15">
        <v>0</v>
      </c>
      <c r="AG198" s="15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15">
        <v>0</v>
      </c>
      <c r="AS198" s="15">
        <v>0</v>
      </c>
      <c r="AT198" s="15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I198" s="15">
        <v>0</v>
      </c>
      <c r="CJ198" s="15">
        <v>0</v>
      </c>
      <c r="CK198" s="15">
        <v>0</v>
      </c>
      <c r="CL198" s="21">
        <f>SUM(AE198,AR198,CI198)</f>
        <v>0</v>
      </c>
      <c r="CM198" s="21">
        <f>SUM(AF198,AS198,CJ198)</f>
        <v>0</v>
      </c>
      <c r="CN198" s="21">
        <f>SUM(AG198,AT198,CK198)</f>
        <v>0</v>
      </c>
    </row>
    <row r="199" spans="1:92" x14ac:dyDescent="0.3">
      <c r="A199" s="16" t="s">
        <v>403</v>
      </c>
      <c r="B199" t="s">
        <v>108</v>
      </c>
      <c r="C199" t="s">
        <v>289</v>
      </c>
      <c r="D199">
        <v>409737</v>
      </c>
      <c r="E199" t="s">
        <v>306</v>
      </c>
      <c r="F199" t="s">
        <v>307</v>
      </c>
      <c r="G199" t="s">
        <v>112</v>
      </c>
      <c r="H199" t="s">
        <v>133</v>
      </c>
      <c r="I199" t="s">
        <v>123</v>
      </c>
      <c r="J199" t="s">
        <v>124</v>
      </c>
      <c r="K199" t="s">
        <v>116</v>
      </c>
      <c r="L199" t="s">
        <v>125</v>
      </c>
      <c r="M199" t="s">
        <v>118</v>
      </c>
      <c r="N199" t="s">
        <v>126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s="15">
        <v>0</v>
      </c>
      <c r="AF199" s="15">
        <v>0</v>
      </c>
      <c r="AG199" s="15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15">
        <v>0</v>
      </c>
      <c r="AS199" s="15">
        <v>0</v>
      </c>
      <c r="AT199" s="15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I199" s="15">
        <v>0</v>
      </c>
      <c r="CJ199" s="15">
        <v>0</v>
      </c>
      <c r="CK199" s="15">
        <v>0</v>
      </c>
      <c r="CL199" s="21">
        <f>SUM(AE199,AR199,CI199)</f>
        <v>0</v>
      </c>
      <c r="CM199" s="21">
        <f>SUM(AF199,AS199,CJ199)</f>
        <v>0</v>
      </c>
      <c r="CN199" s="21">
        <f>SUM(AG199,AT199,CK199)</f>
        <v>0</v>
      </c>
    </row>
    <row r="200" spans="1:92" x14ac:dyDescent="0.3">
      <c r="A200" s="16" t="s">
        <v>403</v>
      </c>
      <c r="B200" t="s">
        <v>108</v>
      </c>
      <c r="C200" t="s">
        <v>289</v>
      </c>
      <c r="D200">
        <v>482836</v>
      </c>
      <c r="E200" t="s">
        <v>310</v>
      </c>
      <c r="F200" t="s">
        <v>311</v>
      </c>
      <c r="G200" t="s">
        <v>112</v>
      </c>
      <c r="H200" t="s">
        <v>174</v>
      </c>
      <c r="I200" t="s">
        <v>123</v>
      </c>
      <c r="J200" t="s">
        <v>124</v>
      </c>
      <c r="K200" t="s">
        <v>116</v>
      </c>
      <c r="L200" t="s">
        <v>162</v>
      </c>
      <c r="M200" t="s">
        <v>118</v>
      </c>
      <c r="N200" t="s">
        <v>163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s="15">
        <v>0</v>
      </c>
      <c r="AF200" s="15">
        <v>0</v>
      </c>
      <c r="AG200" s="15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15">
        <v>0</v>
      </c>
      <c r="AS200" s="15">
        <v>0</v>
      </c>
      <c r="AT200" s="15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I200" s="15">
        <v>0</v>
      </c>
      <c r="CJ200" s="15">
        <v>0</v>
      </c>
      <c r="CK200" s="15">
        <v>0</v>
      </c>
      <c r="CL200" s="21">
        <f>SUM(AE200,AR200,CI200)</f>
        <v>0</v>
      </c>
      <c r="CM200" s="21">
        <f>SUM(AF200,AS200,CJ200)</f>
        <v>0</v>
      </c>
      <c r="CN200" s="21">
        <f>SUM(AG200,AT200,CK200)</f>
        <v>0</v>
      </c>
    </row>
    <row r="201" spans="1:92" x14ac:dyDescent="0.3">
      <c r="A201" s="16" t="s">
        <v>403</v>
      </c>
      <c r="B201" t="s">
        <v>108</v>
      </c>
      <c r="C201" t="s">
        <v>289</v>
      </c>
      <c r="D201">
        <v>482887</v>
      </c>
      <c r="E201" t="s">
        <v>312</v>
      </c>
      <c r="F201" t="s">
        <v>313</v>
      </c>
      <c r="G201" t="s">
        <v>112</v>
      </c>
      <c r="H201" t="s">
        <v>113</v>
      </c>
      <c r="I201" t="s">
        <v>123</v>
      </c>
      <c r="J201" t="s">
        <v>124</v>
      </c>
      <c r="K201" t="s">
        <v>116</v>
      </c>
      <c r="L201" t="s">
        <v>162</v>
      </c>
      <c r="M201" t="s">
        <v>118</v>
      </c>
      <c r="N201" t="s">
        <v>163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s="15">
        <v>0</v>
      </c>
      <c r="AF201" s="15">
        <v>0</v>
      </c>
      <c r="AG201" s="15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15">
        <v>0</v>
      </c>
      <c r="AS201" s="15">
        <v>0</v>
      </c>
      <c r="AT201" s="15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I201" s="15">
        <v>0</v>
      </c>
      <c r="CJ201" s="15">
        <v>0</v>
      </c>
      <c r="CK201" s="15">
        <v>0</v>
      </c>
      <c r="CL201" s="21">
        <f>SUM(AE201,AR201,CI201)</f>
        <v>0</v>
      </c>
      <c r="CM201" s="21">
        <f>SUM(AF201,AS201,CJ201)</f>
        <v>0</v>
      </c>
      <c r="CN201" s="21">
        <f>SUM(AG201,AT201,CK201)</f>
        <v>0</v>
      </c>
    </row>
    <row r="202" spans="1:92" x14ac:dyDescent="0.3">
      <c r="A202" s="16" t="s">
        <v>403</v>
      </c>
      <c r="B202" t="s">
        <v>108</v>
      </c>
      <c r="C202" t="s">
        <v>289</v>
      </c>
      <c r="D202">
        <v>482889</v>
      </c>
      <c r="E202" t="s">
        <v>314</v>
      </c>
      <c r="F202" t="s">
        <v>315</v>
      </c>
      <c r="G202" t="s">
        <v>112</v>
      </c>
      <c r="H202" t="s">
        <v>113</v>
      </c>
      <c r="I202" t="s">
        <v>123</v>
      </c>
      <c r="J202" t="s">
        <v>124</v>
      </c>
      <c r="K202" t="s">
        <v>116</v>
      </c>
      <c r="L202" t="s">
        <v>162</v>
      </c>
      <c r="M202" t="s">
        <v>118</v>
      </c>
      <c r="N202" t="s">
        <v>163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s="15">
        <v>0</v>
      </c>
      <c r="AF202" s="15">
        <v>0</v>
      </c>
      <c r="AG202" s="15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15">
        <v>0</v>
      </c>
      <c r="AS202" s="15">
        <v>0</v>
      </c>
      <c r="AT202" s="15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I202" s="15">
        <v>0</v>
      </c>
      <c r="CJ202" s="15">
        <v>0</v>
      </c>
      <c r="CK202" s="15">
        <v>0</v>
      </c>
      <c r="CL202" s="21">
        <f>SUM(AE202,AR202,CI202)</f>
        <v>0</v>
      </c>
      <c r="CM202" s="21">
        <f>SUM(AF202,AS202,CJ202)</f>
        <v>0</v>
      </c>
      <c r="CN202" s="21">
        <f>SUM(AG202,AT202,CK202)</f>
        <v>0</v>
      </c>
    </row>
    <row r="203" spans="1:92" x14ac:dyDescent="0.3">
      <c r="A203" s="16" t="s">
        <v>403</v>
      </c>
      <c r="B203" t="s">
        <v>108</v>
      </c>
      <c r="C203" t="s">
        <v>289</v>
      </c>
      <c r="D203">
        <v>482890</v>
      </c>
      <c r="E203" t="s">
        <v>316</v>
      </c>
      <c r="F203" t="s">
        <v>317</v>
      </c>
      <c r="G203" t="s">
        <v>112</v>
      </c>
      <c r="H203" t="s">
        <v>261</v>
      </c>
      <c r="I203" t="s">
        <v>123</v>
      </c>
      <c r="J203" t="s">
        <v>124</v>
      </c>
      <c r="K203" t="s">
        <v>116</v>
      </c>
      <c r="L203" t="s">
        <v>162</v>
      </c>
      <c r="M203" t="s">
        <v>118</v>
      </c>
      <c r="N203" t="s">
        <v>163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s="15">
        <v>0</v>
      </c>
      <c r="AF203" s="15">
        <v>0</v>
      </c>
      <c r="AG203" s="15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15">
        <v>0</v>
      </c>
      <c r="AS203" s="15">
        <v>0</v>
      </c>
      <c r="AT203" s="15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I203" s="15">
        <v>0</v>
      </c>
      <c r="CJ203" s="15">
        <v>0</v>
      </c>
      <c r="CK203" s="15">
        <v>0</v>
      </c>
      <c r="CL203" s="21">
        <f>SUM(AE203,AR203,CI203)</f>
        <v>0</v>
      </c>
      <c r="CM203" s="21">
        <f>SUM(AF203,AS203,CJ203)</f>
        <v>0</v>
      </c>
      <c r="CN203" s="21">
        <f>SUM(AG203,AT203,CK203)</f>
        <v>0</v>
      </c>
    </row>
    <row r="204" spans="1:92" x14ac:dyDescent="0.3">
      <c r="A204" s="16" t="s">
        <v>403</v>
      </c>
      <c r="B204" t="s">
        <v>108</v>
      </c>
      <c r="C204" t="s">
        <v>289</v>
      </c>
      <c r="D204">
        <v>482897</v>
      </c>
      <c r="E204" t="s">
        <v>318</v>
      </c>
      <c r="F204" t="s">
        <v>319</v>
      </c>
      <c r="G204" t="s">
        <v>112</v>
      </c>
      <c r="H204" t="s">
        <v>261</v>
      </c>
      <c r="I204" t="s">
        <v>123</v>
      </c>
      <c r="J204" t="s">
        <v>124</v>
      </c>
      <c r="K204" t="s">
        <v>116</v>
      </c>
      <c r="L204" t="s">
        <v>162</v>
      </c>
      <c r="M204" t="s">
        <v>118</v>
      </c>
      <c r="N204" t="s">
        <v>163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s="15">
        <v>0</v>
      </c>
      <c r="AF204" s="15">
        <v>0</v>
      </c>
      <c r="AG204" s="15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15">
        <v>0</v>
      </c>
      <c r="AS204" s="15">
        <v>0</v>
      </c>
      <c r="AT204" s="15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I204" s="15">
        <v>0</v>
      </c>
      <c r="CJ204" s="15">
        <v>0</v>
      </c>
      <c r="CK204" s="15">
        <v>0</v>
      </c>
      <c r="CL204" s="21">
        <f>SUM(AE204,AR204,CI204)</f>
        <v>0</v>
      </c>
      <c r="CM204" s="21">
        <f>SUM(AF204,AS204,CJ204)</f>
        <v>0</v>
      </c>
      <c r="CN204" s="21">
        <f>SUM(AG204,AT204,CK204)</f>
        <v>0</v>
      </c>
    </row>
    <row r="205" spans="1:92" x14ac:dyDescent="0.3">
      <c r="A205" s="16" t="s">
        <v>403</v>
      </c>
      <c r="B205" t="s">
        <v>108</v>
      </c>
      <c r="C205" t="s">
        <v>289</v>
      </c>
      <c r="D205">
        <v>482909</v>
      </c>
      <c r="E205" t="s">
        <v>322</v>
      </c>
      <c r="F205" t="s">
        <v>323</v>
      </c>
      <c r="G205" t="s">
        <v>112</v>
      </c>
      <c r="H205" t="s">
        <v>113</v>
      </c>
      <c r="I205" t="s">
        <v>123</v>
      </c>
      <c r="J205" t="s">
        <v>124</v>
      </c>
      <c r="K205" t="s">
        <v>116</v>
      </c>
      <c r="L205" t="s">
        <v>162</v>
      </c>
      <c r="M205" t="s">
        <v>118</v>
      </c>
      <c r="N205" t="s">
        <v>163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s="15">
        <v>0</v>
      </c>
      <c r="AF205" s="15">
        <v>0</v>
      </c>
      <c r="AG205" s="1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15">
        <v>0</v>
      </c>
      <c r="AS205" s="15">
        <v>0</v>
      </c>
      <c r="AT205" s="1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I205" s="15">
        <v>0</v>
      </c>
      <c r="CJ205" s="15">
        <v>0</v>
      </c>
      <c r="CK205" s="15">
        <v>0</v>
      </c>
      <c r="CL205" s="21">
        <f>SUM(AE205,AR205,CI205)</f>
        <v>0</v>
      </c>
      <c r="CM205" s="21">
        <f>SUM(AF205,AS205,CJ205)</f>
        <v>0</v>
      </c>
      <c r="CN205" s="21">
        <f>SUM(AG205,AT205,CK205)</f>
        <v>0</v>
      </c>
    </row>
    <row r="206" spans="1:92" x14ac:dyDescent="0.3">
      <c r="A206" s="16" t="s">
        <v>403</v>
      </c>
      <c r="B206" t="s">
        <v>108</v>
      </c>
      <c r="C206" t="s">
        <v>289</v>
      </c>
      <c r="D206">
        <v>482963</v>
      </c>
      <c r="E206" t="s">
        <v>324</v>
      </c>
      <c r="F206" t="s">
        <v>325</v>
      </c>
      <c r="G206" t="s">
        <v>112</v>
      </c>
      <c r="H206" t="s">
        <v>113</v>
      </c>
      <c r="I206" t="s">
        <v>123</v>
      </c>
      <c r="J206" t="s">
        <v>124</v>
      </c>
      <c r="K206" t="s">
        <v>116</v>
      </c>
      <c r="L206" t="s">
        <v>162</v>
      </c>
      <c r="M206" t="s">
        <v>118</v>
      </c>
      <c r="N206" t="s">
        <v>163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s="15">
        <v>0</v>
      </c>
      <c r="AF206" s="15">
        <v>0</v>
      </c>
      <c r="AG206" s="15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15">
        <v>0</v>
      </c>
      <c r="AS206" s="15">
        <v>0</v>
      </c>
      <c r="AT206" s="15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I206" s="15">
        <v>0</v>
      </c>
      <c r="CJ206" s="15">
        <v>0</v>
      </c>
      <c r="CK206" s="15">
        <v>0</v>
      </c>
      <c r="CL206" s="21">
        <f>SUM(AE206,AR206,CI206)</f>
        <v>0</v>
      </c>
      <c r="CM206" s="21">
        <f>SUM(AF206,AS206,CJ206)</f>
        <v>0</v>
      </c>
      <c r="CN206" s="21">
        <f>SUM(AG206,AT206,CK206)</f>
        <v>0</v>
      </c>
    </row>
    <row r="207" spans="1:92" x14ac:dyDescent="0.3">
      <c r="A207" s="16" t="s">
        <v>403</v>
      </c>
      <c r="B207" t="s">
        <v>108</v>
      </c>
      <c r="C207" t="s">
        <v>289</v>
      </c>
      <c r="D207">
        <v>482978</v>
      </c>
      <c r="E207" t="s">
        <v>326</v>
      </c>
      <c r="F207" t="s">
        <v>327</v>
      </c>
      <c r="G207" t="s">
        <v>112</v>
      </c>
      <c r="H207" t="s">
        <v>113</v>
      </c>
      <c r="I207" t="s">
        <v>123</v>
      </c>
      <c r="J207" t="s">
        <v>124</v>
      </c>
      <c r="K207" t="s">
        <v>116</v>
      </c>
      <c r="L207" t="s">
        <v>162</v>
      </c>
      <c r="M207" t="s">
        <v>118</v>
      </c>
      <c r="N207" t="s">
        <v>163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s="15">
        <v>0</v>
      </c>
      <c r="AF207" s="15">
        <v>0</v>
      </c>
      <c r="AG207" s="15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15">
        <v>0</v>
      </c>
      <c r="AS207" s="15">
        <v>0</v>
      </c>
      <c r="AT207" s="15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I207" s="15">
        <v>0</v>
      </c>
      <c r="CJ207" s="15">
        <v>0</v>
      </c>
      <c r="CK207" s="15">
        <v>0</v>
      </c>
      <c r="CL207" s="21">
        <f>SUM(AE207,AR207,CI207)</f>
        <v>0</v>
      </c>
      <c r="CM207" s="21">
        <f>SUM(AF207,AS207,CJ207)</f>
        <v>0</v>
      </c>
      <c r="CN207" s="21">
        <f>SUM(AG207,AT207,CK207)</f>
        <v>0</v>
      </c>
    </row>
    <row r="208" spans="1:92" x14ac:dyDescent="0.3">
      <c r="A208" s="16" t="s">
        <v>403</v>
      </c>
      <c r="B208" t="s">
        <v>108</v>
      </c>
      <c r="C208" t="s">
        <v>289</v>
      </c>
      <c r="D208">
        <v>482979</v>
      </c>
      <c r="E208" t="s">
        <v>328</v>
      </c>
      <c r="F208" t="s">
        <v>329</v>
      </c>
      <c r="G208" t="s">
        <v>112</v>
      </c>
      <c r="H208" t="s">
        <v>133</v>
      </c>
      <c r="I208" t="s">
        <v>123</v>
      </c>
      <c r="J208" t="s">
        <v>124</v>
      </c>
      <c r="K208" t="s">
        <v>116</v>
      </c>
      <c r="L208" t="s">
        <v>150</v>
      </c>
      <c r="M208" t="s">
        <v>118</v>
      </c>
      <c r="N208" t="s">
        <v>151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s="15">
        <v>0</v>
      </c>
      <c r="AF208" s="15">
        <v>0</v>
      </c>
      <c r="AG208" s="15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15">
        <v>0</v>
      </c>
      <c r="AS208" s="15">
        <v>0</v>
      </c>
      <c r="AT208" s="15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I208" s="15">
        <v>0</v>
      </c>
      <c r="CJ208" s="15">
        <v>0</v>
      </c>
      <c r="CK208" s="15">
        <v>0</v>
      </c>
      <c r="CL208" s="21">
        <f>SUM(AE208,AR208,CI208)</f>
        <v>0</v>
      </c>
      <c r="CM208" s="21">
        <f>SUM(AF208,AS208,CJ208)</f>
        <v>0</v>
      </c>
      <c r="CN208" s="21">
        <f>SUM(AG208,AT208,CK208)</f>
        <v>0</v>
      </c>
    </row>
    <row r="209" spans="1:92" x14ac:dyDescent="0.3">
      <c r="A209" s="16" t="s">
        <v>403</v>
      </c>
      <c r="B209" t="s">
        <v>108</v>
      </c>
      <c r="C209" t="s">
        <v>289</v>
      </c>
      <c r="D209">
        <v>482980</v>
      </c>
      <c r="E209" t="s">
        <v>330</v>
      </c>
      <c r="F209" t="s">
        <v>331</v>
      </c>
      <c r="G209" t="s">
        <v>112</v>
      </c>
      <c r="H209" t="s">
        <v>133</v>
      </c>
      <c r="I209" t="s">
        <v>123</v>
      </c>
      <c r="J209" t="s">
        <v>124</v>
      </c>
      <c r="K209" t="s">
        <v>116</v>
      </c>
      <c r="L209" t="s">
        <v>162</v>
      </c>
      <c r="M209" t="s">
        <v>118</v>
      </c>
      <c r="N209" t="s">
        <v>163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s="15">
        <v>0</v>
      </c>
      <c r="AF209" s="15">
        <v>0</v>
      </c>
      <c r="AG209" s="15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15">
        <v>0</v>
      </c>
      <c r="AS209" s="15">
        <v>0</v>
      </c>
      <c r="AT209" s="15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I209" s="15">
        <v>0</v>
      </c>
      <c r="CJ209" s="15">
        <v>0</v>
      </c>
      <c r="CK209" s="15">
        <v>0</v>
      </c>
      <c r="CL209" s="21">
        <f>SUM(AE209,AR209,CI209)</f>
        <v>0</v>
      </c>
      <c r="CM209" s="21">
        <f>SUM(AF209,AS209,CJ209)</f>
        <v>0</v>
      </c>
      <c r="CN209" s="21">
        <f>SUM(AG209,AT209,CK209)</f>
        <v>0</v>
      </c>
    </row>
    <row r="210" spans="1:92" x14ac:dyDescent="0.3">
      <c r="A210" s="16" t="s">
        <v>403</v>
      </c>
      <c r="B210" t="s">
        <v>108</v>
      </c>
      <c r="C210" t="s">
        <v>332</v>
      </c>
      <c r="D210">
        <v>136531</v>
      </c>
      <c r="E210" t="s">
        <v>333</v>
      </c>
      <c r="F210" t="s">
        <v>334</v>
      </c>
      <c r="G210" t="s">
        <v>112</v>
      </c>
      <c r="H210" t="s">
        <v>217</v>
      </c>
      <c r="I210" t="s">
        <v>114</v>
      </c>
      <c r="J210" t="s">
        <v>115</v>
      </c>
      <c r="K210" t="s">
        <v>116</v>
      </c>
      <c r="L210" t="s">
        <v>162</v>
      </c>
      <c r="M210" t="s">
        <v>118</v>
      </c>
      <c r="N210" t="s">
        <v>163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 s="15">
        <v>2</v>
      </c>
      <c r="AF210" s="15">
        <v>1</v>
      </c>
      <c r="AG210" s="15">
        <v>3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15">
        <v>0</v>
      </c>
      <c r="AS210" s="15">
        <v>0</v>
      </c>
      <c r="AT210" s="15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I210" s="15">
        <v>0</v>
      </c>
      <c r="CJ210" s="15">
        <v>0</v>
      </c>
      <c r="CK210" s="15">
        <v>0</v>
      </c>
      <c r="CL210" s="21">
        <f>SUM(AE210,AR210,CI210)</f>
        <v>2</v>
      </c>
      <c r="CM210" s="21">
        <f>SUM(AF210,AS210,CJ210)</f>
        <v>1</v>
      </c>
      <c r="CN210" s="21">
        <f>SUM(AG210,AT210,CK210)</f>
        <v>3</v>
      </c>
    </row>
    <row r="211" spans="1:92" x14ac:dyDescent="0.3">
      <c r="A211" s="16" t="s">
        <v>403</v>
      </c>
      <c r="B211" t="s">
        <v>108</v>
      </c>
      <c r="C211" t="s">
        <v>332</v>
      </c>
      <c r="D211">
        <v>136532</v>
      </c>
      <c r="E211" t="s">
        <v>335</v>
      </c>
      <c r="F211" t="s">
        <v>336</v>
      </c>
      <c r="G211" t="s">
        <v>112</v>
      </c>
      <c r="H211" t="s">
        <v>122</v>
      </c>
      <c r="I211" t="s">
        <v>114</v>
      </c>
      <c r="J211" t="s">
        <v>115</v>
      </c>
      <c r="K211" t="s">
        <v>116</v>
      </c>
      <c r="L211" t="s">
        <v>162</v>
      </c>
      <c r="M211" t="s">
        <v>118</v>
      </c>
      <c r="N211" t="s">
        <v>163</v>
      </c>
      <c r="O211">
        <v>1</v>
      </c>
      <c r="P211">
        <v>1</v>
      </c>
      <c r="Q211">
        <v>1</v>
      </c>
      <c r="R211">
        <v>1</v>
      </c>
      <c r="S211">
        <v>5</v>
      </c>
      <c r="T211">
        <v>5</v>
      </c>
      <c r="U211">
        <v>4</v>
      </c>
      <c r="V211">
        <v>2</v>
      </c>
      <c r="W211">
        <v>2</v>
      </c>
      <c r="X211">
        <v>1</v>
      </c>
      <c r="Y211">
        <v>4</v>
      </c>
      <c r="Z211">
        <v>4</v>
      </c>
      <c r="AA211">
        <v>4</v>
      </c>
      <c r="AB211">
        <v>3</v>
      </c>
      <c r="AC211">
        <v>0</v>
      </c>
      <c r="AD211">
        <v>0</v>
      </c>
      <c r="AE211" s="15">
        <v>21</v>
      </c>
      <c r="AF211" s="15">
        <v>17</v>
      </c>
      <c r="AG211" s="15">
        <v>38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15">
        <v>0</v>
      </c>
      <c r="AS211" s="15">
        <v>0</v>
      </c>
      <c r="AT211" s="15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I211" s="15">
        <v>0</v>
      </c>
      <c r="CJ211" s="15">
        <v>0</v>
      </c>
      <c r="CK211" s="15">
        <v>0</v>
      </c>
      <c r="CL211" s="21">
        <f>SUM(AE211,AR211,CI211)</f>
        <v>21</v>
      </c>
      <c r="CM211" s="21">
        <f>SUM(AF211,AS211,CJ211)</f>
        <v>17</v>
      </c>
      <c r="CN211" s="21">
        <f>SUM(AG211,AT211,CK211)</f>
        <v>38</v>
      </c>
    </row>
    <row r="212" spans="1:92" x14ac:dyDescent="0.3">
      <c r="A212" s="16" t="s">
        <v>403</v>
      </c>
      <c r="B212" t="s">
        <v>108</v>
      </c>
      <c r="C212" t="s">
        <v>332</v>
      </c>
      <c r="D212">
        <v>136533</v>
      </c>
      <c r="E212" t="s">
        <v>337</v>
      </c>
      <c r="F212" t="s">
        <v>338</v>
      </c>
      <c r="G212" t="s">
        <v>112</v>
      </c>
      <c r="H212" t="s">
        <v>122</v>
      </c>
      <c r="I212" t="s">
        <v>114</v>
      </c>
      <c r="J212" t="s">
        <v>115</v>
      </c>
      <c r="K212" t="s">
        <v>116</v>
      </c>
      <c r="L212" t="s">
        <v>162</v>
      </c>
      <c r="M212" t="s">
        <v>118</v>
      </c>
      <c r="N212" t="s">
        <v>163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4</v>
      </c>
      <c r="Z212">
        <v>0</v>
      </c>
      <c r="AA212">
        <v>2</v>
      </c>
      <c r="AB212">
        <v>4</v>
      </c>
      <c r="AC212">
        <v>0</v>
      </c>
      <c r="AD212">
        <v>0</v>
      </c>
      <c r="AE212" s="15">
        <v>8</v>
      </c>
      <c r="AF212" s="15">
        <v>6</v>
      </c>
      <c r="AG212" s="15">
        <v>14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15">
        <v>0</v>
      </c>
      <c r="AS212" s="15">
        <v>0</v>
      </c>
      <c r="AT212" s="15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I212" s="15">
        <v>0</v>
      </c>
      <c r="CJ212" s="15">
        <v>0</v>
      </c>
      <c r="CK212" s="15">
        <v>0</v>
      </c>
      <c r="CL212" s="21">
        <f>SUM(AE212,AR212,CI212)</f>
        <v>8</v>
      </c>
      <c r="CM212" s="21">
        <f>SUM(AF212,AS212,CJ212)</f>
        <v>6</v>
      </c>
      <c r="CN212" s="21">
        <f>SUM(AG212,AT212,CK212)</f>
        <v>14</v>
      </c>
    </row>
    <row r="213" spans="1:92" x14ac:dyDescent="0.3">
      <c r="A213" s="16" t="s">
        <v>403</v>
      </c>
      <c r="B213" t="s">
        <v>108</v>
      </c>
      <c r="C213" t="s">
        <v>332</v>
      </c>
      <c r="D213">
        <v>136534</v>
      </c>
      <c r="E213" t="s">
        <v>339</v>
      </c>
      <c r="F213" t="s">
        <v>340</v>
      </c>
      <c r="G213" t="s">
        <v>112</v>
      </c>
      <c r="H213" t="s">
        <v>129</v>
      </c>
      <c r="I213" t="s">
        <v>114</v>
      </c>
      <c r="J213" t="s">
        <v>115</v>
      </c>
      <c r="K213" t="s">
        <v>116</v>
      </c>
      <c r="L213" t="s">
        <v>162</v>
      </c>
      <c r="M213" t="s">
        <v>118</v>
      </c>
      <c r="N213" t="s">
        <v>163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0</v>
      </c>
      <c r="AE213" s="15">
        <v>2</v>
      </c>
      <c r="AF213" s="15">
        <v>0</v>
      </c>
      <c r="AG213" s="15">
        <v>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15">
        <v>0</v>
      </c>
      <c r="AS213" s="15">
        <v>0</v>
      </c>
      <c r="AT213" s="15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I213" s="15">
        <v>0</v>
      </c>
      <c r="CJ213" s="15">
        <v>0</v>
      </c>
      <c r="CK213" s="15">
        <v>0</v>
      </c>
      <c r="CL213" s="21">
        <f>SUM(AE213,AR213,CI213)</f>
        <v>2</v>
      </c>
      <c r="CM213" s="21">
        <f>SUM(AF213,AS213,CJ213)</f>
        <v>0</v>
      </c>
      <c r="CN213" s="21">
        <f>SUM(AG213,AT213,CK213)</f>
        <v>2</v>
      </c>
    </row>
    <row r="214" spans="1:92" x14ac:dyDescent="0.3">
      <c r="A214" s="16" t="s">
        <v>403</v>
      </c>
      <c r="B214" t="s">
        <v>108</v>
      </c>
      <c r="C214" t="s">
        <v>332</v>
      </c>
      <c r="D214">
        <v>136535</v>
      </c>
      <c r="E214" t="s">
        <v>341</v>
      </c>
      <c r="F214" t="s">
        <v>342</v>
      </c>
      <c r="G214" t="s">
        <v>112</v>
      </c>
      <c r="H214" t="s">
        <v>186</v>
      </c>
      <c r="I214" t="s">
        <v>114</v>
      </c>
      <c r="J214" t="s">
        <v>115</v>
      </c>
      <c r="K214" t="s">
        <v>116</v>
      </c>
      <c r="L214" t="s">
        <v>162</v>
      </c>
      <c r="M214" t="s">
        <v>118</v>
      </c>
      <c r="N214" t="s">
        <v>163</v>
      </c>
      <c r="O214">
        <v>0</v>
      </c>
      <c r="P214">
        <v>0</v>
      </c>
      <c r="Q214">
        <v>1</v>
      </c>
      <c r="R214">
        <v>1</v>
      </c>
      <c r="S214">
        <v>11</v>
      </c>
      <c r="T214">
        <v>5</v>
      </c>
      <c r="U214">
        <v>16</v>
      </c>
      <c r="V214">
        <v>18</v>
      </c>
      <c r="W214">
        <v>15</v>
      </c>
      <c r="X214">
        <v>14</v>
      </c>
      <c r="Y214">
        <v>17</v>
      </c>
      <c r="Z214">
        <v>11</v>
      </c>
      <c r="AA214">
        <v>18</v>
      </c>
      <c r="AB214">
        <v>21</v>
      </c>
      <c r="AC214">
        <v>0</v>
      </c>
      <c r="AD214">
        <v>0</v>
      </c>
      <c r="AE214" s="15">
        <v>78</v>
      </c>
      <c r="AF214" s="15">
        <v>70</v>
      </c>
      <c r="AG214" s="15">
        <v>148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15">
        <v>0</v>
      </c>
      <c r="AS214" s="15">
        <v>0</v>
      </c>
      <c r="AT214" s="15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I214" s="15">
        <v>0</v>
      </c>
      <c r="CJ214" s="15">
        <v>0</v>
      </c>
      <c r="CK214" s="15">
        <v>0</v>
      </c>
      <c r="CL214" s="21">
        <f>SUM(AE214,AR214,CI214)</f>
        <v>78</v>
      </c>
      <c r="CM214" s="21">
        <f>SUM(AF214,AS214,CJ214)</f>
        <v>70</v>
      </c>
      <c r="CN214" s="21">
        <f>SUM(AG214,AT214,CK214)</f>
        <v>148</v>
      </c>
    </row>
    <row r="215" spans="1:92" x14ac:dyDescent="0.3">
      <c r="A215" s="16" t="s">
        <v>403</v>
      </c>
      <c r="B215" t="s">
        <v>108</v>
      </c>
      <c r="C215" t="s">
        <v>332</v>
      </c>
      <c r="D215">
        <v>136536</v>
      </c>
      <c r="E215" t="s">
        <v>343</v>
      </c>
      <c r="F215" t="s">
        <v>344</v>
      </c>
      <c r="G215" t="s">
        <v>112</v>
      </c>
      <c r="H215" t="s">
        <v>217</v>
      </c>
      <c r="I215" t="s">
        <v>114</v>
      </c>
      <c r="J215" t="s">
        <v>115</v>
      </c>
      <c r="K215" t="s">
        <v>116</v>
      </c>
      <c r="L215" t="s">
        <v>162</v>
      </c>
      <c r="M215" t="s">
        <v>118</v>
      </c>
      <c r="N215" t="s">
        <v>163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7</v>
      </c>
      <c r="AC215">
        <v>0</v>
      </c>
      <c r="AD215">
        <v>0</v>
      </c>
      <c r="AE215" s="15">
        <v>3</v>
      </c>
      <c r="AF215" s="15">
        <v>7</v>
      </c>
      <c r="AG215" s="15">
        <v>10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15">
        <v>0</v>
      </c>
      <c r="AS215" s="15">
        <v>0</v>
      </c>
      <c r="AT215" s="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I215" s="15">
        <v>0</v>
      </c>
      <c r="CJ215" s="15">
        <v>0</v>
      </c>
      <c r="CK215" s="15">
        <v>0</v>
      </c>
      <c r="CL215" s="21">
        <f>SUM(AE215,AR215,CI215)</f>
        <v>3</v>
      </c>
      <c r="CM215" s="21">
        <f>SUM(AF215,AS215,CJ215)</f>
        <v>7</v>
      </c>
      <c r="CN215" s="21">
        <f>SUM(AG215,AT215,CK215)</f>
        <v>10</v>
      </c>
    </row>
    <row r="216" spans="1:92" x14ac:dyDescent="0.3">
      <c r="A216" s="16" t="s">
        <v>403</v>
      </c>
      <c r="B216" t="s">
        <v>108</v>
      </c>
      <c r="C216" t="s">
        <v>332</v>
      </c>
      <c r="D216">
        <v>136537</v>
      </c>
      <c r="E216" t="s">
        <v>345</v>
      </c>
      <c r="F216" t="s">
        <v>346</v>
      </c>
      <c r="G216" t="s">
        <v>112</v>
      </c>
      <c r="H216" t="s">
        <v>191</v>
      </c>
      <c r="I216" t="s">
        <v>114</v>
      </c>
      <c r="J216" t="s">
        <v>115</v>
      </c>
      <c r="K216" t="s">
        <v>116</v>
      </c>
      <c r="L216" t="s">
        <v>162</v>
      </c>
      <c r="M216" t="s">
        <v>118</v>
      </c>
      <c r="N216" t="s">
        <v>163</v>
      </c>
      <c r="O216">
        <v>2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7</v>
      </c>
      <c r="V216">
        <v>1</v>
      </c>
      <c r="W216">
        <v>2</v>
      </c>
      <c r="X216">
        <v>1</v>
      </c>
      <c r="Y216">
        <v>2</v>
      </c>
      <c r="Z216">
        <v>4</v>
      </c>
      <c r="AA216">
        <v>10</v>
      </c>
      <c r="AB216">
        <v>10</v>
      </c>
      <c r="AC216">
        <v>0</v>
      </c>
      <c r="AD216">
        <v>0</v>
      </c>
      <c r="AE216" s="15">
        <v>23</v>
      </c>
      <c r="AF216" s="15">
        <v>17</v>
      </c>
      <c r="AG216" s="15">
        <v>40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15">
        <v>0</v>
      </c>
      <c r="AS216" s="15">
        <v>0</v>
      </c>
      <c r="AT216" s="15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I216" s="15">
        <v>0</v>
      </c>
      <c r="CJ216" s="15">
        <v>0</v>
      </c>
      <c r="CK216" s="15">
        <v>0</v>
      </c>
      <c r="CL216" s="21">
        <f>SUM(AE216,AR216,CI216)</f>
        <v>23</v>
      </c>
      <c r="CM216" s="21">
        <f>SUM(AF216,AS216,CJ216)</f>
        <v>17</v>
      </c>
      <c r="CN216" s="21">
        <f>SUM(AG216,AT216,CK216)</f>
        <v>40</v>
      </c>
    </row>
    <row r="217" spans="1:92" x14ac:dyDescent="0.3">
      <c r="A217" s="16" t="s">
        <v>403</v>
      </c>
      <c r="B217" t="s">
        <v>108</v>
      </c>
      <c r="C217" t="s">
        <v>332</v>
      </c>
      <c r="D217">
        <v>136543</v>
      </c>
      <c r="E217" t="s">
        <v>347</v>
      </c>
      <c r="F217" t="s">
        <v>411</v>
      </c>
      <c r="G217" t="s">
        <v>112</v>
      </c>
      <c r="H217" t="s">
        <v>136</v>
      </c>
      <c r="I217" t="s">
        <v>114</v>
      </c>
      <c r="J217" t="s">
        <v>115</v>
      </c>
      <c r="K217" t="s">
        <v>116</v>
      </c>
      <c r="L217" t="s">
        <v>162</v>
      </c>
      <c r="M217" t="s">
        <v>118</v>
      </c>
      <c r="N217" t="s">
        <v>163</v>
      </c>
      <c r="O217">
        <v>2</v>
      </c>
      <c r="P217">
        <v>1</v>
      </c>
      <c r="Q217">
        <v>1</v>
      </c>
      <c r="R217">
        <v>4</v>
      </c>
      <c r="S217">
        <v>1</v>
      </c>
      <c r="T217">
        <v>1</v>
      </c>
      <c r="U217">
        <v>10</v>
      </c>
      <c r="V217">
        <v>10</v>
      </c>
      <c r="W217">
        <v>4</v>
      </c>
      <c r="X217">
        <v>1</v>
      </c>
      <c r="Y217">
        <v>5</v>
      </c>
      <c r="Z217">
        <v>2</v>
      </c>
      <c r="AA217">
        <v>4</v>
      </c>
      <c r="AB217">
        <v>6</v>
      </c>
      <c r="AC217">
        <v>0</v>
      </c>
      <c r="AD217">
        <v>0</v>
      </c>
      <c r="AE217" s="15">
        <v>27</v>
      </c>
      <c r="AF217" s="15">
        <v>25</v>
      </c>
      <c r="AG217" s="15">
        <v>52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15">
        <v>0</v>
      </c>
      <c r="AS217" s="15">
        <v>0</v>
      </c>
      <c r="AT217" s="15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I217" s="15">
        <v>0</v>
      </c>
      <c r="CJ217" s="15">
        <v>0</v>
      </c>
      <c r="CK217" s="15">
        <v>0</v>
      </c>
      <c r="CL217" s="21">
        <f>SUM(AE217,AR217,CI217)</f>
        <v>27</v>
      </c>
      <c r="CM217" s="21">
        <f>SUM(AF217,AS217,CJ217)</f>
        <v>25</v>
      </c>
      <c r="CN217" s="21">
        <f>SUM(AG217,AT217,CK217)</f>
        <v>52</v>
      </c>
    </row>
    <row r="218" spans="1:92" x14ac:dyDescent="0.3">
      <c r="A218" s="16" t="s">
        <v>403</v>
      </c>
      <c r="B218" t="s">
        <v>108</v>
      </c>
      <c r="C218" t="s">
        <v>332</v>
      </c>
      <c r="D218">
        <v>222501</v>
      </c>
      <c r="E218" t="s">
        <v>349</v>
      </c>
      <c r="F218" t="s">
        <v>350</v>
      </c>
      <c r="G218" t="s">
        <v>112</v>
      </c>
      <c r="H218" t="s">
        <v>351</v>
      </c>
      <c r="I218" t="s">
        <v>114</v>
      </c>
      <c r="J218" t="s">
        <v>115</v>
      </c>
      <c r="K218" t="s">
        <v>116</v>
      </c>
      <c r="L218" t="s">
        <v>162</v>
      </c>
      <c r="M218" t="s">
        <v>118</v>
      </c>
      <c r="N218" t="s">
        <v>163</v>
      </c>
      <c r="O218">
        <v>2</v>
      </c>
      <c r="P218">
        <v>3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6</v>
      </c>
      <c r="AC218">
        <v>0</v>
      </c>
      <c r="AD218">
        <v>0</v>
      </c>
      <c r="AE218" s="15">
        <v>4</v>
      </c>
      <c r="AF218" s="15">
        <v>11</v>
      </c>
      <c r="AG218" s="15">
        <v>15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15">
        <v>0</v>
      </c>
      <c r="AS218" s="15">
        <v>0</v>
      </c>
      <c r="AT218" s="15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I218" s="15">
        <v>0</v>
      </c>
      <c r="CJ218" s="15">
        <v>0</v>
      </c>
      <c r="CK218" s="15">
        <v>0</v>
      </c>
      <c r="CL218" s="21">
        <f>SUM(AE218,AR218,CI218)</f>
        <v>4</v>
      </c>
      <c r="CM218" s="21">
        <f>SUM(AF218,AS218,CJ218)</f>
        <v>11</v>
      </c>
      <c r="CN218" s="21">
        <f>SUM(AG218,AT218,CK218)</f>
        <v>15</v>
      </c>
    </row>
    <row r="219" spans="1:92" x14ac:dyDescent="0.3">
      <c r="A219" s="16" t="s">
        <v>403</v>
      </c>
      <c r="B219" t="s">
        <v>108</v>
      </c>
      <c r="C219" t="s">
        <v>332</v>
      </c>
      <c r="D219">
        <v>305635</v>
      </c>
      <c r="E219" t="s">
        <v>352</v>
      </c>
      <c r="F219" t="s">
        <v>412</v>
      </c>
      <c r="G219" t="s">
        <v>112</v>
      </c>
      <c r="H219" t="s">
        <v>136</v>
      </c>
      <c r="I219" t="s">
        <v>114</v>
      </c>
      <c r="J219" t="s">
        <v>115</v>
      </c>
      <c r="K219" t="s">
        <v>116</v>
      </c>
      <c r="L219" t="s">
        <v>187</v>
      </c>
      <c r="M219" t="s">
        <v>118</v>
      </c>
      <c r="N219" t="s">
        <v>188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s="15">
        <v>0</v>
      </c>
      <c r="AF219" s="15">
        <v>0</v>
      </c>
      <c r="AG219" s="15">
        <v>0</v>
      </c>
      <c r="AH219">
        <v>3</v>
      </c>
      <c r="AI219">
        <v>2</v>
      </c>
      <c r="AJ219">
        <v>0</v>
      </c>
      <c r="AK219">
        <v>0</v>
      </c>
      <c r="AL219">
        <v>3</v>
      </c>
      <c r="AM219">
        <v>9</v>
      </c>
      <c r="AN219">
        <v>0</v>
      </c>
      <c r="AO219">
        <v>0</v>
      </c>
      <c r="AP219">
        <v>0</v>
      </c>
      <c r="AQ219">
        <v>0</v>
      </c>
      <c r="AR219" s="15">
        <v>6</v>
      </c>
      <c r="AS219" s="15">
        <v>11</v>
      </c>
      <c r="AT219" s="15">
        <v>17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I219" s="15">
        <v>0</v>
      </c>
      <c r="CJ219" s="15">
        <v>0</v>
      </c>
      <c r="CK219" s="15">
        <v>0</v>
      </c>
      <c r="CL219" s="21">
        <f>SUM(AE219,AR219,CI219)</f>
        <v>6</v>
      </c>
      <c r="CM219" s="21">
        <f>SUM(AF219,AS219,CJ219)</f>
        <v>11</v>
      </c>
      <c r="CN219" s="21">
        <f>SUM(AG219,AT219,CK219)</f>
        <v>17</v>
      </c>
    </row>
    <row r="220" spans="1:92" x14ac:dyDescent="0.3">
      <c r="A220" s="16" t="s">
        <v>403</v>
      </c>
      <c r="B220" t="s">
        <v>108</v>
      </c>
      <c r="C220" t="s">
        <v>332</v>
      </c>
      <c r="D220">
        <v>406492</v>
      </c>
      <c r="E220" t="s">
        <v>354</v>
      </c>
      <c r="F220" t="s">
        <v>355</v>
      </c>
      <c r="G220" t="s">
        <v>112</v>
      </c>
      <c r="H220" t="s">
        <v>122</v>
      </c>
      <c r="I220" t="s">
        <v>123</v>
      </c>
      <c r="J220" t="s">
        <v>124</v>
      </c>
      <c r="K220" t="s">
        <v>116</v>
      </c>
      <c r="L220" t="s">
        <v>150</v>
      </c>
      <c r="M220" t="s">
        <v>118</v>
      </c>
      <c r="N220" t="s">
        <v>151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s="15">
        <v>0</v>
      </c>
      <c r="AF220" s="15">
        <v>0</v>
      </c>
      <c r="AG220" s="15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15">
        <v>0</v>
      </c>
      <c r="AS220" s="15">
        <v>0</v>
      </c>
      <c r="AT220" s="15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I220" s="15">
        <v>0</v>
      </c>
      <c r="CJ220" s="15">
        <v>0</v>
      </c>
      <c r="CK220" s="15">
        <v>0</v>
      </c>
      <c r="CL220" s="21">
        <f>SUM(AE220,AR220,CI220)</f>
        <v>0</v>
      </c>
      <c r="CM220" s="21">
        <f>SUM(AF220,AS220,CJ220)</f>
        <v>0</v>
      </c>
      <c r="CN220" s="21">
        <f>SUM(AG220,AT220,CK220)</f>
        <v>0</v>
      </c>
    </row>
    <row r="221" spans="1:92" x14ac:dyDescent="0.3">
      <c r="A221" s="16" t="s">
        <v>403</v>
      </c>
      <c r="B221" t="s">
        <v>108</v>
      </c>
      <c r="C221" t="s">
        <v>332</v>
      </c>
      <c r="D221">
        <v>408390</v>
      </c>
      <c r="E221" t="s">
        <v>356</v>
      </c>
      <c r="F221" t="s">
        <v>357</v>
      </c>
      <c r="G221" t="s">
        <v>112</v>
      </c>
      <c r="H221" t="s">
        <v>136</v>
      </c>
      <c r="I221" t="s">
        <v>123</v>
      </c>
      <c r="J221" t="s">
        <v>124</v>
      </c>
      <c r="K221" t="s">
        <v>116</v>
      </c>
      <c r="L221" t="s">
        <v>162</v>
      </c>
      <c r="M221" t="s">
        <v>118</v>
      </c>
      <c r="N221" t="s">
        <v>163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s="15">
        <v>0</v>
      </c>
      <c r="AF221" s="15">
        <v>0</v>
      </c>
      <c r="AG221" s="15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15">
        <v>0</v>
      </c>
      <c r="AS221" s="15">
        <v>0</v>
      </c>
      <c r="AT221" s="15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I221" s="15">
        <v>0</v>
      </c>
      <c r="CJ221" s="15">
        <v>0</v>
      </c>
      <c r="CK221" s="15">
        <v>0</v>
      </c>
      <c r="CL221" s="21">
        <f>SUM(AE221,AR221,CI221)</f>
        <v>0</v>
      </c>
      <c r="CM221" s="21">
        <f>SUM(AF221,AS221,CJ221)</f>
        <v>0</v>
      </c>
      <c r="CN221" s="21">
        <f>SUM(AG221,AT221,CK221)</f>
        <v>0</v>
      </c>
    </row>
    <row r="222" spans="1:92" x14ac:dyDescent="0.3">
      <c r="A222" s="16" t="s">
        <v>403</v>
      </c>
      <c r="B222" t="s">
        <v>108</v>
      </c>
      <c r="C222" t="s">
        <v>332</v>
      </c>
      <c r="D222">
        <v>408616</v>
      </c>
      <c r="E222" t="s">
        <v>358</v>
      </c>
      <c r="F222" t="s">
        <v>359</v>
      </c>
      <c r="G222" t="s">
        <v>112</v>
      </c>
      <c r="H222" t="s">
        <v>186</v>
      </c>
      <c r="I222" t="s">
        <v>123</v>
      </c>
      <c r="J222" t="s">
        <v>124</v>
      </c>
      <c r="K222" t="s">
        <v>116</v>
      </c>
      <c r="L222" t="s">
        <v>214</v>
      </c>
      <c r="M222" t="s">
        <v>118</v>
      </c>
      <c r="N222" t="s">
        <v>163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s="15">
        <v>0</v>
      </c>
      <c r="AF222" s="15">
        <v>0</v>
      </c>
      <c r="AG222" s="15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15">
        <v>0</v>
      </c>
      <c r="AS222" s="15">
        <v>0</v>
      </c>
      <c r="AT222" s="15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I222" s="15">
        <v>0</v>
      </c>
      <c r="CJ222" s="15">
        <v>0</v>
      </c>
      <c r="CK222" s="15">
        <v>0</v>
      </c>
      <c r="CL222" s="21">
        <f>SUM(AE222,AR222,CI222)</f>
        <v>0</v>
      </c>
      <c r="CM222" s="21">
        <f>SUM(AF222,AS222,CJ222)</f>
        <v>0</v>
      </c>
      <c r="CN222" s="21">
        <f>SUM(AG222,AT222,CK222)</f>
        <v>0</v>
      </c>
    </row>
    <row r="223" spans="1:92" x14ac:dyDescent="0.3">
      <c r="A223" s="16" t="s">
        <v>403</v>
      </c>
      <c r="B223" t="s">
        <v>108</v>
      </c>
      <c r="C223" t="s">
        <v>332</v>
      </c>
      <c r="D223">
        <v>408783</v>
      </c>
      <c r="E223" t="s">
        <v>360</v>
      </c>
      <c r="F223" t="s">
        <v>361</v>
      </c>
      <c r="G223" t="s">
        <v>112</v>
      </c>
      <c r="H223" t="s">
        <v>136</v>
      </c>
      <c r="I223" t="s">
        <v>123</v>
      </c>
      <c r="J223" t="s">
        <v>124</v>
      </c>
      <c r="K223" t="s">
        <v>116</v>
      </c>
      <c r="L223" t="s">
        <v>214</v>
      </c>
      <c r="M223" t="s">
        <v>118</v>
      </c>
      <c r="N223" t="s">
        <v>163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s="15">
        <v>0</v>
      </c>
      <c r="AF223" s="15">
        <v>0</v>
      </c>
      <c r="AG223" s="15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15">
        <v>0</v>
      </c>
      <c r="AS223" s="15">
        <v>0</v>
      </c>
      <c r="AT223" s="15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I223" s="15">
        <v>0</v>
      </c>
      <c r="CJ223" s="15">
        <v>0</v>
      </c>
      <c r="CK223" s="15">
        <v>0</v>
      </c>
      <c r="CL223" s="21">
        <f>SUM(AE223,AR223,CI223)</f>
        <v>0</v>
      </c>
      <c r="CM223" s="21">
        <f>SUM(AF223,AS223,CJ223)</f>
        <v>0</v>
      </c>
      <c r="CN223" s="21">
        <f>SUM(AG223,AT223,CK223)</f>
        <v>0</v>
      </c>
    </row>
    <row r="224" spans="1:92" x14ac:dyDescent="0.3">
      <c r="A224" s="16" t="s">
        <v>403</v>
      </c>
      <c r="B224" t="s">
        <v>108</v>
      </c>
      <c r="C224" t="s">
        <v>332</v>
      </c>
      <c r="D224">
        <v>408809</v>
      </c>
      <c r="E224" t="s">
        <v>362</v>
      </c>
      <c r="F224" t="s">
        <v>363</v>
      </c>
      <c r="G224" t="s">
        <v>112</v>
      </c>
      <c r="H224" t="s">
        <v>136</v>
      </c>
      <c r="I224" t="s">
        <v>123</v>
      </c>
      <c r="J224" t="s">
        <v>124</v>
      </c>
      <c r="K224" t="s">
        <v>116</v>
      </c>
      <c r="L224" t="s">
        <v>214</v>
      </c>
      <c r="M224" t="s">
        <v>118</v>
      </c>
      <c r="N224" t="s">
        <v>163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s="15">
        <v>0</v>
      </c>
      <c r="AF224" s="15">
        <v>0</v>
      </c>
      <c r="AG224" s="15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15">
        <v>0</v>
      </c>
      <c r="AS224" s="15">
        <v>0</v>
      </c>
      <c r="AT224" s="15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I224" s="15">
        <v>0</v>
      </c>
      <c r="CJ224" s="15">
        <v>0</v>
      </c>
      <c r="CK224" s="15">
        <v>0</v>
      </c>
      <c r="CL224" s="21">
        <f>SUM(AE224,AR224,CI224)</f>
        <v>0</v>
      </c>
      <c r="CM224" s="21">
        <f>SUM(AF224,AS224,CJ224)</f>
        <v>0</v>
      </c>
      <c r="CN224" s="21">
        <f>SUM(AG224,AT224,CK224)</f>
        <v>0</v>
      </c>
    </row>
    <row r="225" spans="1:92" x14ac:dyDescent="0.3">
      <c r="A225" s="16" t="s">
        <v>403</v>
      </c>
      <c r="B225" t="s">
        <v>108</v>
      </c>
      <c r="C225" t="s">
        <v>332</v>
      </c>
      <c r="D225">
        <v>408851</v>
      </c>
      <c r="E225" t="s">
        <v>364</v>
      </c>
      <c r="F225" t="s">
        <v>365</v>
      </c>
      <c r="G225" t="s">
        <v>112</v>
      </c>
      <c r="H225" t="s">
        <v>122</v>
      </c>
      <c r="I225" t="s">
        <v>123</v>
      </c>
      <c r="J225" t="s">
        <v>124</v>
      </c>
      <c r="K225" t="s">
        <v>116</v>
      </c>
      <c r="L225" t="s">
        <v>125</v>
      </c>
      <c r="M225" t="s">
        <v>118</v>
      </c>
      <c r="N225" t="s">
        <v>126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s="15">
        <v>0</v>
      </c>
      <c r="AF225" s="15">
        <v>0</v>
      </c>
      <c r="AG225" s="1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15">
        <v>0</v>
      </c>
      <c r="AS225" s="15">
        <v>0</v>
      </c>
      <c r="AT225" s="1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I225" s="15">
        <v>0</v>
      </c>
      <c r="CJ225" s="15">
        <v>0</v>
      </c>
      <c r="CK225" s="15">
        <v>0</v>
      </c>
      <c r="CL225" s="21">
        <f>SUM(AE225,AR225,CI225)</f>
        <v>0</v>
      </c>
      <c r="CM225" s="21">
        <f>SUM(AF225,AS225,CJ225)</f>
        <v>0</v>
      </c>
      <c r="CN225" s="21">
        <f>SUM(AG225,AT225,CK225)</f>
        <v>0</v>
      </c>
    </row>
    <row r="226" spans="1:92" x14ac:dyDescent="0.3">
      <c r="A226" s="16" t="s">
        <v>403</v>
      </c>
      <c r="B226" t="s">
        <v>108</v>
      </c>
      <c r="C226" t="s">
        <v>332</v>
      </c>
      <c r="D226">
        <v>409734</v>
      </c>
      <c r="E226" t="s">
        <v>366</v>
      </c>
      <c r="F226" t="s">
        <v>367</v>
      </c>
      <c r="G226" t="s">
        <v>112</v>
      </c>
      <c r="H226" t="s">
        <v>186</v>
      </c>
      <c r="I226" t="s">
        <v>123</v>
      </c>
      <c r="J226" t="s">
        <v>124</v>
      </c>
      <c r="K226" t="s">
        <v>116</v>
      </c>
      <c r="L226" t="s">
        <v>125</v>
      </c>
      <c r="M226" t="s">
        <v>118</v>
      </c>
      <c r="N226" t="s">
        <v>126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s="15">
        <v>0</v>
      </c>
      <c r="AF226" s="15">
        <v>0</v>
      </c>
      <c r="AG226" s="15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15">
        <v>0</v>
      </c>
      <c r="AS226" s="15">
        <v>0</v>
      </c>
      <c r="AT226" s="15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I226" s="15">
        <v>0</v>
      </c>
      <c r="CJ226" s="15">
        <v>0</v>
      </c>
      <c r="CK226" s="15">
        <v>0</v>
      </c>
      <c r="CL226" s="21">
        <f>SUM(AE226,AR226,CI226)</f>
        <v>0</v>
      </c>
      <c r="CM226" s="21">
        <f>SUM(AF226,AS226,CJ226)</f>
        <v>0</v>
      </c>
      <c r="CN226" s="21">
        <f>SUM(AG226,AT226,CK226)</f>
        <v>0</v>
      </c>
    </row>
    <row r="227" spans="1:92" x14ac:dyDescent="0.3">
      <c r="A227" s="16" t="s">
        <v>403</v>
      </c>
      <c r="B227" t="s">
        <v>108</v>
      </c>
      <c r="C227" t="s">
        <v>332</v>
      </c>
      <c r="D227">
        <v>409888</v>
      </c>
      <c r="E227" t="s">
        <v>368</v>
      </c>
      <c r="F227" t="s">
        <v>369</v>
      </c>
      <c r="G227" t="s">
        <v>112</v>
      </c>
      <c r="H227" t="s">
        <v>136</v>
      </c>
      <c r="I227" t="s">
        <v>123</v>
      </c>
      <c r="J227" t="s">
        <v>124</v>
      </c>
      <c r="K227" t="s">
        <v>116</v>
      </c>
      <c r="L227" t="s">
        <v>162</v>
      </c>
      <c r="M227" t="s">
        <v>118</v>
      </c>
      <c r="N227" t="s">
        <v>163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s="15">
        <v>0</v>
      </c>
      <c r="AF227" s="15">
        <v>0</v>
      </c>
      <c r="AG227" s="15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15">
        <v>0</v>
      </c>
      <c r="AS227" s="15">
        <v>0</v>
      </c>
      <c r="AT227" s="15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I227" s="15">
        <v>0</v>
      </c>
      <c r="CJ227" s="15">
        <v>0</v>
      </c>
      <c r="CK227" s="15">
        <v>0</v>
      </c>
      <c r="CL227" s="21">
        <f>SUM(AE227,AR227,CI227)</f>
        <v>0</v>
      </c>
      <c r="CM227" s="21">
        <f>SUM(AF227,AS227,CJ227)</f>
        <v>0</v>
      </c>
      <c r="CN227" s="21">
        <f>SUM(AG227,AT227,CK227)</f>
        <v>0</v>
      </c>
    </row>
    <row r="228" spans="1:92" x14ac:dyDescent="0.3">
      <c r="A228" s="16" t="s">
        <v>403</v>
      </c>
      <c r="B228" t="s">
        <v>108</v>
      </c>
      <c r="C228" t="s">
        <v>332</v>
      </c>
      <c r="D228">
        <v>482701</v>
      </c>
      <c r="E228" t="s">
        <v>372</v>
      </c>
      <c r="F228" t="s">
        <v>373</v>
      </c>
      <c r="G228" t="s">
        <v>112</v>
      </c>
      <c r="H228" t="s">
        <v>136</v>
      </c>
      <c r="I228" t="s">
        <v>123</v>
      </c>
      <c r="J228" t="s">
        <v>124</v>
      </c>
      <c r="K228" t="s">
        <v>116</v>
      </c>
      <c r="L228" t="s">
        <v>214</v>
      </c>
      <c r="M228" t="s">
        <v>118</v>
      </c>
      <c r="N228" t="s">
        <v>163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s="15">
        <v>0</v>
      </c>
      <c r="AF228" s="15">
        <v>0</v>
      </c>
      <c r="AG228" s="15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15">
        <v>0</v>
      </c>
      <c r="AS228" s="15">
        <v>0</v>
      </c>
      <c r="AT228" s="15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I228" s="15">
        <v>0</v>
      </c>
      <c r="CJ228" s="15">
        <v>0</v>
      </c>
      <c r="CK228" s="15">
        <v>0</v>
      </c>
      <c r="CL228" s="21">
        <f>SUM(AE228,AR228,CI228)</f>
        <v>0</v>
      </c>
      <c r="CM228" s="21">
        <f>SUM(AF228,AS228,CJ228)</f>
        <v>0</v>
      </c>
      <c r="CN228" s="21">
        <f>SUM(AG228,AT228,CK228)</f>
        <v>0</v>
      </c>
    </row>
    <row r="229" spans="1:92" x14ac:dyDescent="0.3">
      <c r="A229" s="16" t="s">
        <v>403</v>
      </c>
      <c r="B229" t="s">
        <v>108</v>
      </c>
      <c r="C229" t="s">
        <v>332</v>
      </c>
      <c r="D229">
        <v>482709</v>
      </c>
      <c r="E229" t="s">
        <v>374</v>
      </c>
      <c r="F229" t="s">
        <v>375</v>
      </c>
      <c r="G229" t="s">
        <v>112</v>
      </c>
      <c r="H229" t="s">
        <v>147</v>
      </c>
      <c r="I229" t="s">
        <v>123</v>
      </c>
      <c r="J229" t="s">
        <v>124</v>
      </c>
      <c r="K229" t="s">
        <v>116</v>
      </c>
      <c r="L229" t="s">
        <v>150</v>
      </c>
      <c r="M229" t="s">
        <v>118</v>
      </c>
      <c r="N229" t="s">
        <v>151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s="15">
        <v>0</v>
      </c>
      <c r="AF229" s="15">
        <v>0</v>
      </c>
      <c r="AG229" s="15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15">
        <v>0</v>
      </c>
      <c r="AS229" s="15">
        <v>0</v>
      </c>
      <c r="AT229" s="15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I229" s="15">
        <v>0</v>
      </c>
      <c r="CJ229" s="15">
        <v>0</v>
      </c>
      <c r="CK229" s="15">
        <v>0</v>
      </c>
      <c r="CL229" s="21">
        <f>SUM(AE229,AR229,CI229)</f>
        <v>0</v>
      </c>
      <c r="CM229" s="21">
        <f>SUM(AF229,AS229,CJ229)</f>
        <v>0</v>
      </c>
      <c r="CN229" s="21">
        <f>SUM(AG229,AT229,CK229)</f>
        <v>0</v>
      </c>
    </row>
    <row r="230" spans="1:92" x14ac:dyDescent="0.3">
      <c r="A230" s="16" t="s">
        <v>403</v>
      </c>
      <c r="B230" t="s">
        <v>108</v>
      </c>
      <c r="C230" t="s">
        <v>332</v>
      </c>
      <c r="D230">
        <v>482716</v>
      </c>
      <c r="E230" t="s">
        <v>376</v>
      </c>
      <c r="F230" t="s">
        <v>377</v>
      </c>
      <c r="G230" t="s">
        <v>112</v>
      </c>
      <c r="H230" t="s">
        <v>129</v>
      </c>
      <c r="I230" t="s">
        <v>123</v>
      </c>
      <c r="J230" t="s">
        <v>124</v>
      </c>
      <c r="K230" t="s">
        <v>116</v>
      </c>
      <c r="L230" t="s">
        <v>150</v>
      </c>
      <c r="M230" t="s">
        <v>118</v>
      </c>
      <c r="N230" t="s">
        <v>151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s="15">
        <v>0</v>
      </c>
      <c r="AF230" s="15">
        <v>0</v>
      </c>
      <c r="AG230" s="15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15">
        <v>0</v>
      </c>
      <c r="AS230" s="15">
        <v>0</v>
      </c>
      <c r="AT230" s="15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I230" s="15">
        <v>0</v>
      </c>
      <c r="CJ230" s="15">
        <v>0</v>
      </c>
      <c r="CK230" s="15">
        <v>0</v>
      </c>
      <c r="CL230" s="21">
        <f>SUM(AE230,AR230,CI230)</f>
        <v>0</v>
      </c>
      <c r="CM230" s="21">
        <f>SUM(AF230,AS230,CJ230)</f>
        <v>0</v>
      </c>
      <c r="CN230" s="21">
        <f>SUM(AG230,AT230,CK230)</f>
        <v>0</v>
      </c>
    </row>
    <row r="231" spans="1:92" x14ac:dyDescent="0.3">
      <c r="A231" s="16" t="s">
        <v>403</v>
      </c>
      <c r="B231" t="s">
        <v>108</v>
      </c>
      <c r="C231" t="s">
        <v>332</v>
      </c>
      <c r="D231">
        <v>482885</v>
      </c>
      <c r="E231" t="s">
        <v>378</v>
      </c>
      <c r="F231" t="s">
        <v>379</v>
      </c>
      <c r="G231" t="s">
        <v>112</v>
      </c>
      <c r="H231" t="s">
        <v>136</v>
      </c>
      <c r="I231" t="s">
        <v>123</v>
      </c>
      <c r="J231" t="s">
        <v>124</v>
      </c>
      <c r="K231" t="s">
        <v>116</v>
      </c>
      <c r="L231" t="s">
        <v>162</v>
      </c>
      <c r="M231" t="s">
        <v>118</v>
      </c>
      <c r="N231" t="s">
        <v>163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s="15">
        <v>0</v>
      </c>
      <c r="AF231" s="15">
        <v>0</v>
      </c>
      <c r="AG231" s="15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15">
        <v>0</v>
      </c>
      <c r="AS231" s="15">
        <v>0</v>
      </c>
      <c r="AT231" s="15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I231" s="15">
        <v>0</v>
      </c>
      <c r="CJ231" s="15">
        <v>0</v>
      </c>
      <c r="CK231" s="15">
        <v>0</v>
      </c>
      <c r="CL231" s="21">
        <f>SUM(AE231,AR231,CI231)</f>
        <v>0</v>
      </c>
      <c r="CM231" s="21">
        <f>SUM(AF231,AS231,CJ231)</f>
        <v>0</v>
      </c>
      <c r="CN231" s="21">
        <f>SUM(AG231,AT231,CK231)</f>
        <v>0</v>
      </c>
    </row>
    <row r="232" spans="1:92" x14ac:dyDescent="0.3">
      <c r="A232" s="16" t="s">
        <v>403</v>
      </c>
      <c r="B232" t="s">
        <v>108</v>
      </c>
      <c r="C232" t="s">
        <v>332</v>
      </c>
      <c r="D232">
        <v>482891</v>
      </c>
      <c r="E232" t="s">
        <v>380</v>
      </c>
      <c r="F232" t="s">
        <v>381</v>
      </c>
      <c r="G232" t="s">
        <v>112</v>
      </c>
      <c r="H232" t="s">
        <v>191</v>
      </c>
      <c r="I232" t="s">
        <v>123</v>
      </c>
      <c r="J232" t="s">
        <v>124</v>
      </c>
      <c r="K232" t="s">
        <v>116</v>
      </c>
      <c r="L232" t="s">
        <v>162</v>
      </c>
      <c r="M232" t="s">
        <v>118</v>
      </c>
      <c r="N232" t="s">
        <v>163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s="15">
        <v>0</v>
      </c>
      <c r="AF232" s="15">
        <v>0</v>
      </c>
      <c r="AG232" s="15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15">
        <v>0</v>
      </c>
      <c r="AS232" s="15">
        <v>0</v>
      </c>
      <c r="AT232" s="15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I232" s="15">
        <v>0</v>
      </c>
      <c r="CJ232" s="15">
        <v>0</v>
      </c>
      <c r="CK232" s="15">
        <v>0</v>
      </c>
      <c r="CL232" s="21">
        <f>SUM(AE232,AR232,CI232)</f>
        <v>0</v>
      </c>
      <c r="CM232" s="21">
        <f>SUM(AF232,AS232,CJ232)</f>
        <v>0</v>
      </c>
      <c r="CN232" s="21">
        <f>SUM(AG232,AT232,CK232)</f>
        <v>0</v>
      </c>
    </row>
    <row r="233" spans="1:92" x14ac:dyDescent="0.3">
      <c r="A233" s="16" t="s">
        <v>403</v>
      </c>
      <c r="B233" t="s">
        <v>108</v>
      </c>
      <c r="C233" t="s">
        <v>332</v>
      </c>
      <c r="D233">
        <v>482906</v>
      </c>
      <c r="E233" t="s">
        <v>382</v>
      </c>
      <c r="F233" t="s">
        <v>383</v>
      </c>
      <c r="G233" t="s">
        <v>112</v>
      </c>
      <c r="H233" t="s">
        <v>136</v>
      </c>
      <c r="I233" t="s">
        <v>123</v>
      </c>
      <c r="J233" t="s">
        <v>124</v>
      </c>
      <c r="K233" t="s">
        <v>116</v>
      </c>
      <c r="L233" t="s">
        <v>162</v>
      </c>
      <c r="M233" t="s">
        <v>118</v>
      </c>
      <c r="N233" t="s">
        <v>163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s="15">
        <v>0</v>
      </c>
      <c r="AF233" s="15">
        <v>0</v>
      </c>
      <c r="AG233" s="15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15">
        <v>0</v>
      </c>
      <c r="AS233" s="15">
        <v>0</v>
      </c>
      <c r="AT233" s="15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I233" s="15">
        <v>0</v>
      </c>
      <c r="CJ233" s="15">
        <v>0</v>
      </c>
      <c r="CK233" s="15">
        <v>0</v>
      </c>
      <c r="CL233" s="21">
        <f>SUM(AE233,AR233,CI233)</f>
        <v>0</v>
      </c>
      <c r="CM233" s="21">
        <f>SUM(AF233,AS233,CJ233)</f>
        <v>0</v>
      </c>
      <c r="CN233" s="21">
        <f>SUM(AG233,AT233,CK233)</f>
        <v>0</v>
      </c>
    </row>
    <row r="234" spans="1:92" x14ac:dyDescent="0.3">
      <c r="A234" s="16" t="s">
        <v>403</v>
      </c>
      <c r="B234" t="s">
        <v>108</v>
      </c>
      <c r="C234" t="s">
        <v>332</v>
      </c>
      <c r="D234">
        <v>482971</v>
      </c>
      <c r="E234" t="s">
        <v>390</v>
      </c>
      <c r="F234" t="s">
        <v>391</v>
      </c>
      <c r="G234" t="s">
        <v>112</v>
      </c>
      <c r="H234" t="s">
        <v>136</v>
      </c>
      <c r="I234" t="s">
        <v>123</v>
      </c>
      <c r="J234" t="s">
        <v>124</v>
      </c>
      <c r="K234" t="s">
        <v>116</v>
      </c>
      <c r="L234" t="s">
        <v>413</v>
      </c>
      <c r="M234" t="s">
        <v>118</v>
      </c>
      <c r="N234" t="s">
        <v>151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s="15">
        <v>0</v>
      </c>
      <c r="AF234" s="15">
        <v>0</v>
      </c>
      <c r="AG234" s="15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15">
        <v>0</v>
      </c>
      <c r="AS234" s="15">
        <v>0</v>
      </c>
      <c r="AT234" s="15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I234" s="15">
        <v>0</v>
      </c>
      <c r="CJ234" s="15">
        <v>0</v>
      </c>
      <c r="CK234" s="15">
        <v>0</v>
      </c>
      <c r="CL234" s="21">
        <f>SUM(AE234,AR234,CI234)</f>
        <v>0</v>
      </c>
      <c r="CM234" s="21">
        <f>SUM(AF234,AS234,CJ234)</f>
        <v>0</v>
      </c>
      <c r="CN234" s="21">
        <f>SUM(AG234,AT234,CK234)</f>
        <v>0</v>
      </c>
    </row>
    <row r="235" spans="1:92" x14ac:dyDescent="0.3">
      <c r="A235" s="16" t="s">
        <v>403</v>
      </c>
      <c r="B235" t="s">
        <v>108</v>
      </c>
      <c r="C235" t="s">
        <v>332</v>
      </c>
      <c r="D235">
        <v>482987</v>
      </c>
      <c r="E235" t="s">
        <v>392</v>
      </c>
      <c r="F235" t="s">
        <v>393</v>
      </c>
      <c r="G235" t="s">
        <v>112</v>
      </c>
      <c r="H235" t="s">
        <v>191</v>
      </c>
      <c r="I235" t="s">
        <v>123</v>
      </c>
      <c r="J235" t="s">
        <v>124</v>
      </c>
      <c r="K235" t="s">
        <v>116</v>
      </c>
      <c r="L235" t="s">
        <v>117</v>
      </c>
      <c r="M235" t="s">
        <v>118</v>
      </c>
      <c r="N235" t="s">
        <v>119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s="15">
        <v>0</v>
      </c>
      <c r="AF235" s="15">
        <v>0</v>
      </c>
      <c r="AG235" s="1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15">
        <v>0</v>
      </c>
      <c r="AS235" s="15">
        <v>0</v>
      </c>
      <c r="AT235" s="1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I235" s="15">
        <v>0</v>
      </c>
      <c r="CJ235" s="15">
        <v>0</v>
      </c>
      <c r="CK235" s="15">
        <v>0</v>
      </c>
      <c r="CL235" s="21">
        <f>SUM(AE235,AR235,CI235)</f>
        <v>0</v>
      </c>
      <c r="CM235" s="21">
        <f>SUM(AF235,AS235,CJ235)</f>
        <v>0</v>
      </c>
      <c r="CN235" s="21">
        <f>SUM(AG235,AT235,CK235)</f>
        <v>0</v>
      </c>
    </row>
    <row r="236" spans="1:92" x14ac:dyDescent="0.3">
      <c r="A236" s="16" t="s">
        <v>403</v>
      </c>
      <c r="B236" t="s">
        <v>108</v>
      </c>
      <c r="C236" t="s">
        <v>394</v>
      </c>
      <c r="D236">
        <v>360867</v>
      </c>
      <c r="E236" t="s">
        <v>395</v>
      </c>
      <c r="F236" t="s">
        <v>338</v>
      </c>
      <c r="G236" t="s">
        <v>112</v>
      </c>
      <c r="H236" t="s">
        <v>122</v>
      </c>
      <c r="I236" t="s">
        <v>114</v>
      </c>
      <c r="J236" t="s">
        <v>115</v>
      </c>
      <c r="K236" t="s">
        <v>116</v>
      </c>
      <c r="L236" t="s">
        <v>117</v>
      </c>
      <c r="M236" t="s">
        <v>118</v>
      </c>
      <c r="N236" t="s">
        <v>119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s="15">
        <v>0</v>
      </c>
      <c r="AF236" s="15">
        <v>0</v>
      </c>
      <c r="AG236" s="15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</v>
      </c>
      <c r="AN236">
        <v>0</v>
      </c>
      <c r="AO236">
        <v>0</v>
      </c>
      <c r="AP236">
        <v>0</v>
      </c>
      <c r="AQ236">
        <v>0</v>
      </c>
      <c r="AR236" s="15">
        <v>0</v>
      </c>
      <c r="AS236" s="15">
        <v>2</v>
      </c>
      <c r="AT236" s="15">
        <v>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I236" s="15">
        <v>0</v>
      </c>
      <c r="CJ236" s="15">
        <v>0</v>
      </c>
      <c r="CK236" s="15">
        <v>0</v>
      </c>
      <c r="CL236" s="21">
        <f>SUM(AE236,AR236,CI236)</f>
        <v>0</v>
      </c>
      <c r="CM236" s="21">
        <f>SUM(AF236,AS236,CJ236)</f>
        <v>2</v>
      </c>
      <c r="CN236" s="21">
        <f>SUM(AG236,AT236,CK236)</f>
        <v>2</v>
      </c>
    </row>
    <row r="237" spans="1:92" x14ac:dyDescent="0.3">
      <c r="A237" s="16" t="s">
        <v>403</v>
      </c>
      <c r="B237" t="s">
        <v>108</v>
      </c>
      <c r="C237" t="s">
        <v>394</v>
      </c>
      <c r="D237">
        <v>401443</v>
      </c>
      <c r="E237" t="s">
        <v>396</v>
      </c>
      <c r="F237" t="s">
        <v>397</v>
      </c>
      <c r="G237" t="s">
        <v>112</v>
      </c>
      <c r="H237" t="s">
        <v>129</v>
      </c>
      <c r="I237" t="s">
        <v>123</v>
      </c>
      <c r="J237" t="s">
        <v>124</v>
      </c>
      <c r="K237" t="s">
        <v>116</v>
      </c>
      <c r="L237" t="s">
        <v>125</v>
      </c>
      <c r="M237" t="s">
        <v>118</v>
      </c>
      <c r="N237" t="s">
        <v>126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s="15">
        <v>0</v>
      </c>
      <c r="AF237" s="15">
        <v>0</v>
      </c>
      <c r="AG237" s="15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15">
        <v>0</v>
      </c>
      <c r="AS237" s="15">
        <v>0</v>
      </c>
      <c r="AT237" s="15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I237" s="15">
        <v>0</v>
      </c>
      <c r="CJ237" s="15">
        <v>0</v>
      </c>
      <c r="CK237" s="15">
        <v>0</v>
      </c>
      <c r="CL237" s="21">
        <f>SUM(AE237,AR237,CI237)</f>
        <v>0</v>
      </c>
      <c r="CM237" s="21">
        <f>SUM(AF237,AS237,CJ237)</f>
        <v>0</v>
      </c>
      <c r="CN237" s="21">
        <f>SUM(AG237,AT237,CK237)</f>
        <v>0</v>
      </c>
    </row>
    <row r="238" spans="1:92" x14ac:dyDescent="0.3">
      <c r="A238" s="16" t="s">
        <v>403</v>
      </c>
      <c r="B238" t="s">
        <v>108</v>
      </c>
      <c r="C238" t="s">
        <v>394</v>
      </c>
      <c r="D238">
        <v>406423</v>
      </c>
      <c r="E238" t="s">
        <v>398</v>
      </c>
      <c r="F238" t="s">
        <v>399</v>
      </c>
      <c r="G238" t="s">
        <v>112</v>
      </c>
      <c r="H238" t="s">
        <v>129</v>
      </c>
      <c r="I238" t="s">
        <v>123</v>
      </c>
      <c r="J238" t="s">
        <v>124</v>
      </c>
      <c r="K238" t="s">
        <v>116</v>
      </c>
      <c r="L238" t="s">
        <v>125</v>
      </c>
      <c r="M238" t="s">
        <v>118</v>
      </c>
      <c r="N238" t="s">
        <v>126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s="15">
        <v>0</v>
      </c>
      <c r="AF238" s="15">
        <v>0</v>
      </c>
      <c r="AG238" s="15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15">
        <v>0</v>
      </c>
      <c r="AS238" s="15">
        <v>0</v>
      </c>
      <c r="AT238" s="15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I238" s="15">
        <v>0</v>
      </c>
      <c r="CJ238" s="15">
        <v>0</v>
      </c>
      <c r="CK238" s="15">
        <v>0</v>
      </c>
      <c r="CL238" s="21">
        <f>SUM(AE238,AR238,CI238)</f>
        <v>0</v>
      </c>
      <c r="CM238" s="21">
        <f>SUM(AF238,AS238,CJ238)</f>
        <v>0</v>
      </c>
      <c r="CN238" s="21">
        <f>SUM(AG238,AT238,CK238)</f>
        <v>0</v>
      </c>
    </row>
    <row r="239" spans="1:92" x14ac:dyDescent="0.3">
      <c r="A239" s="19" t="s">
        <v>422</v>
      </c>
      <c r="B239" t="s">
        <v>108</v>
      </c>
      <c r="C239" t="s">
        <v>109</v>
      </c>
      <c r="D239">
        <v>340690</v>
      </c>
      <c r="E239" t="s">
        <v>110</v>
      </c>
      <c r="F239" t="s">
        <v>111</v>
      </c>
      <c r="G239" t="s">
        <v>112</v>
      </c>
      <c r="H239" t="s">
        <v>113</v>
      </c>
      <c r="I239" t="s">
        <v>114</v>
      </c>
      <c r="J239" t="s">
        <v>115</v>
      </c>
      <c r="K239" t="s">
        <v>116</v>
      </c>
      <c r="L239" t="s">
        <v>117</v>
      </c>
      <c r="M239" t="s">
        <v>118</v>
      </c>
      <c r="N239" s="17" t="s">
        <v>119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6</v>
      </c>
      <c r="AW239">
        <v>2</v>
      </c>
      <c r="AX239">
        <v>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6</v>
      </c>
      <c r="BF239">
        <v>0</v>
      </c>
      <c r="BG239">
        <v>0</v>
      </c>
      <c r="BH239">
        <v>0</v>
      </c>
      <c r="BI239">
        <v>0</v>
      </c>
      <c r="BJ239">
        <v>0</v>
      </c>
      <c r="BQ239">
        <v>0</v>
      </c>
      <c r="BR239">
        <v>4</v>
      </c>
      <c r="BS239">
        <v>7</v>
      </c>
      <c r="BT239">
        <v>3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</v>
      </c>
      <c r="CB239">
        <v>6</v>
      </c>
      <c r="CC239">
        <v>0</v>
      </c>
      <c r="CD239">
        <v>0</v>
      </c>
      <c r="CE239">
        <v>0</v>
      </c>
      <c r="CF239">
        <v>0</v>
      </c>
      <c r="CI239">
        <v>19</v>
      </c>
      <c r="CJ239">
        <v>21</v>
      </c>
      <c r="CK239">
        <v>40</v>
      </c>
      <c r="CL239">
        <v>19</v>
      </c>
      <c r="CM239">
        <v>21</v>
      </c>
      <c r="CN239">
        <v>40</v>
      </c>
    </row>
    <row r="240" spans="1:92" x14ac:dyDescent="0.3">
      <c r="A240" s="19" t="s">
        <v>422</v>
      </c>
      <c r="B240" t="s">
        <v>108</v>
      </c>
      <c r="C240" t="s">
        <v>109</v>
      </c>
      <c r="D240">
        <v>401453</v>
      </c>
      <c r="E240" t="s">
        <v>120</v>
      </c>
      <c r="F240" t="s">
        <v>121</v>
      </c>
      <c r="G240" t="s">
        <v>112</v>
      </c>
      <c r="H240" t="s">
        <v>122</v>
      </c>
      <c r="I240" t="s">
        <v>123</v>
      </c>
      <c r="J240" t="s">
        <v>124</v>
      </c>
      <c r="K240" t="s">
        <v>116</v>
      </c>
      <c r="L240" t="s">
        <v>125</v>
      </c>
      <c r="M240" t="s">
        <v>118</v>
      </c>
      <c r="N240" s="17" t="s">
        <v>126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I240">
        <v>0</v>
      </c>
      <c r="CJ240">
        <v>1</v>
      </c>
      <c r="CK240">
        <v>1</v>
      </c>
      <c r="CL240">
        <v>0</v>
      </c>
      <c r="CM240">
        <v>1</v>
      </c>
      <c r="CN240">
        <v>1</v>
      </c>
    </row>
    <row r="241" spans="1:92" x14ac:dyDescent="0.3">
      <c r="A241" s="19" t="s">
        <v>422</v>
      </c>
      <c r="B241" t="s">
        <v>108</v>
      </c>
      <c r="C241" t="s">
        <v>109</v>
      </c>
      <c r="D241">
        <v>401486</v>
      </c>
      <c r="E241" t="s">
        <v>364</v>
      </c>
      <c r="F241" t="s">
        <v>176</v>
      </c>
      <c r="G241" t="s">
        <v>112</v>
      </c>
      <c r="H241" t="s">
        <v>174</v>
      </c>
      <c r="I241" t="s">
        <v>123</v>
      </c>
      <c r="J241" t="s">
        <v>124</v>
      </c>
      <c r="K241" t="s">
        <v>116</v>
      </c>
      <c r="L241" t="s">
        <v>125</v>
      </c>
      <c r="M241" t="s">
        <v>118</v>
      </c>
      <c r="N241" s="17" t="s">
        <v>126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3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2</v>
      </c>
      <c r="BC241">
        <v>0</v>
      </c>
      <c r="BD241">
        <v>0</v>
      </c>
      <c r="BE241">
        <v>3</v>
      </c>
      <c r="BF241">
        <v>8</v>
      </c>
      <c r="BG241">
        <v>0</v>
      </c>
      <c r="BH241">
        <v>0</v>
      </c>
      <c r="BI241">
        <v>0</v>
      </c>
      <c r="BJ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I241">
        <v>4</v>
      </c>
      <c r="CJ241">
        <v>13</v>
      </c>
      <c r="CK241">
        <v>17</v>
      </c>
      <c r="CL241">
        <v>4</v>
      </c>
      <c r="CM241">
        <v>13</v>
      </c>
      <c r="CN241">
        <v>17</v>
      </c>
    </row>
    <row r="242" spans="1:92" x14ac:dyDescent="0.3">
      <c r="A242" s="19" t="s">
        <v>422</v>
      </c>
      <c r="B242" t="s">
        <v>108</v>
      </c>
      <c r="C242" t="s">
        <v>109</v>
      </c>
      <c r="D242">
        <v>401495</v>
      </c>
      <c r="E242" t="s">
        <v>127</v>
      </c>
      <c r="F242" t="s">
        <v>128</v>
      </c>
      <c r="G242" t="s">
        <v>112</v>
      </c>
      <c r="H242" t="s">
        <v>129</v>
      </c>
      <c r="I242" t="s">
        <v>123</v>
      </c>
      <c r="J242" t="s">
        <v>130</v>
      </c>
      <c r="K242" t="s">
        <v>116</v>
      </c>
      <c r="L242" t="s">
        <v>125</v>
      </c>
      <c r="M242" t="s">
        <v>118</v>
      </c>
      <c r="N242" s="17" t="s">
        <v>126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</row>
    <row r="243" spans="1:92" x14ac:dyDescent="0.3">
      <c r="A243" s="19" t="s">
        <v>422</v>
      </c>
      <c r="B243" t="s">
        <v>108</v>
      </c>
      <c r="C243" t="s">
        <v>109</v>
      </c>
      <c r="D243">
        <v>401500</v>
      </c>
      <c r="E243" t="s">
        <v>131</v>
      </c>
      <c r="F243" t="s">
        <v>132</v>
      </c>
      <c r="G243" t="s">
        <v>112</v>
      </c>
      <c r="H243" t="s">
        <v>133</v>
      </c>
      <c r="I243" t="s">
        <v>123</v>
      </c>
      <c r="J243" t="s">
        <v>130</v>
      </c>
      <c r="K243" t="s">
        <v>116</v>
      </c>
      <c r="L243" t="s">
        <v>125</v>
      </c>
      <c r="M243" t="s">
        <v>118</v>
      </c>
      <c r="N243" s="17" t="s">
        <v>126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</row>
    <row r="244" spans="1:92" x14ac:dyDescent="0.3">
      <c r="A244" s="19" t="s">
        <v>422</v>
      </c>
      <c r="B244" t="s">
        <v>108</v>
      </c>
      <c r="C244" t="s">
        <v>109</v>
      </c>
      <c r="D244">
        <v>409925</v>
      </c>
      <c r="E244" t="s">
        <v>134</v>
      </c>
      <c r="F244" t="s">
        <v>135</v>
      </c>
      <c r="G244" t="s">
        <v>112</v>
      </c>
      <c r="H244" t="s">
        <v>136</v>
      </c>
      <c r="I244" t="s">
        <v>123</v>
      </c>
      <c r="J244" t="s">
        <v>124</v>
      </c>
      <c r="K244" t="s">
        <v>116</v>
      </c>
      <c r="L244" t="s">
        <v>125</v>
      </c>
      <c r="M244" t="s">
        <v>118</v>
      </c>
      <c r="N244" s="17" t="s">
        <v>126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I244">
        <v>1</v>
      </c>
      <c r="CJ244">
        <v>2</v>
      </c>
      <c r="CK244">
        <v>3</v>
      </c>
      <c r="CL244">
        <v>1</v>
      </c>
      <c r="CM244">
        <v>2</v>
      </c>
      <c r="CN244">
        <v>3</v>
      </c>
    </row>
    <row r="245" spans="1:92" x14ac:dyDescent="0.3">
      <c r="A245" s="19" t="s">
        <v>422</v>
      </c>
      <c r="B245" t="s">
        <v>108</v>
      </c>
      <c r="C245" t="s">
        <v>109</v>
      </c>
      <c r="D245">
        <v>409926</v>
      </c>
      <c r="E245" t="s">
        <v>134</v>
      </c>
      <c r="F245" t="s">
        <v>137</v>
      </c>
      <c r="G245" t="s">
        <v>112</v>
      </c>
      <c r="H245" t="s">
        <v>138</v>
      </c>
      <c r="I245" t="s">
        <v>123</v>
      </c>
      <c r="J245" t="s">
        <v>124</v>
      </c>
      <c r="K245" t="s">
        <v>116</v>
      </c>
      <c r="L245" t="s">
        <v>125</v>
      </c>
      <c r="M245" t="s">
        <v>118</v>
      </c>
      <c r="N245" s="17" t="s">
        <v>126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9</v>
      </c>
      <c r="AZ245">
        <v>5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I245">
        <v>9</v>
      </c>
      <c r="CJ245">
        <v>5</v>
      </c>
      <c r="CK245">
        <v>14</v>
      </c>
      <c r="CL245">
        <v>9</v>
      </c>
      <c r="CM245">
        <v>5</v>
      </c>
      <c r="CN245">
        <v>14</v>
      </c>
    </row>
    <row r="246" spans="1:92" x14ac:dyDescent="0.3">
      <c r="A246" s="19" t="s">
        <v>422</v>
      </c>
      <c r="B246" t="s">
        <v>108</v>
      </c>
      <c r="C246" t="s">
        <v>109</v>
      </c>
      <c r="D246">
        <v>410227</v>
      </c>
      <c r="E246" t="s">
        <v>139</v>
      </c>
      <c r="F246" t="s">
        <v>404</v>
      </c>
      <c r="G246" t="s">
        <v>112</v>
      </c>
      <c r="H246" t="s">
        <v>129</v>
      </c>
      <c r="I246" t="s">
        <v>123</v>
      </c>
      <c r="J246" t="s">
        <v>124</v>
      </c>
      <c r="K246" t="s">
        <v>116</v>
      </c>
      <c r="L246" t="s">
        <v>125</v>
      </c>
      <c r="M246" t="s">
        <v>118</v>
      </c>
      <c r="N246" s="17" t="s">
        <v>126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</row>
    <row r="247" spans="1:92" x14ac:dyDescent="0.3">
      <c r="A247" s="19" t="s">
        <v>422</v>
      </c>
      <c r="B247" t="s">
        <v>108</v>
      </c>
      <c r="C247" t="s">
        <v>405</v>
      </c>
      <c r="D247">
        <v>410465</v>
      </c>
      <c r="E247" t="s">
        <v>406</v>
      </c>
      <c r="F247" t="s">
        <v>407</v>
      </c>
      <c r="G247" t="s">
        <v>112</v>
      </c>
      <c r="H247" t="s">
        <v>129</v>
      </c>
      <c r="I247" t="s">
        <v>123</v>
      </c>
      <c r="J247" t="s">
        <v>124</v>
      </c>
      <c r="K247" t="s">
        <v>116</v>
      </c>
      <c r="L247" t="s">
        <v>125</v>
      </c>
      <c r="M247" t="s">
        <v>118</v>
      </c>
      <c r="N247" s="17" t="s">
        <v>126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</v>
      </c>
      <c r="AV247">
        <v>5</v>
      </c>
      <c r="AW247">
        <v>0</v>
      </c>
      <c r="AX247">
        <v>2</v>
      </c>
      <c r="AY247">
        <v>0</v>
      </c>
      <c r="AZ247">
        <v>0</v>
      </c>
      <c r="BA247">
        <v>2</v>
      </c>
      <c r="BB247">
        <v>2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I247">
        <v>4</v>
      </c>
      <c r="CJ247">
        <v>9</v>
      </c>
      <c r="CK247">
        <v>13</v>
      </c>
      <c r="CL247">
        <v>4</v>
      </c>
      <c r="CM247">
        <v>9</v>
      </c>
      <c r="CN247">
        <v>13</v>
      </c>
    </row>
    <row r="248" spans="1:92" x14ac:dyDescent="0.3">
      <c r="A248" s="19" t="s">
        <v>422</v>
      </c>
      <c r="B248" t="s">
        <v>108</v>
      </c>
      <c r="C248" t="s">
        <v>141</v>
      </c>
      <c r="D248">
        <v>406537</v>
      </c>
      <c r="E248" t="s">
        <v>142</v>
      </c>
      <c r="F248" t="s">
        <v>143</v>
      </c>
      <c r="G248" t="s">
        <v>112</v>
      </c>
      <c r="H248" t="s">
        <v>122</v>
      </c>
      <c r="I248" t="s">
        <v>123</v>
      </c>
      <c r="J248" t="s">
        <v>130</v>
      </c>
      <c r="K248" t="s">
        <v>116</v>
      </c>
      <c r="L248" t="s">
        <v>125</v>
      </c>
      <c r="M248" t="s">
        <v>118</v>
      </c>
      <c r="N248" s="17" t="s">
        <v>126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</row>
    <row r="249" spans="1:92" x14ac:dyDescent="0.3">
      <c r="A249" s="19" t="s">
        <v>422</v>
      </c>
      <c r="B249" t="s">
        <v>108</v>
      </c>
      <c r="C249" t="s">
        <v>144</v>
      </c>
      <c r="D249">
        <v>305341</v>
      </c>
      <c r="E249" t="s">
        <v>145</v>
      </c>
      <c r="F249" t="s">
        <v>146</v>
      </c>
      <c r="G249" t="s">
        <v>112</v>
      </c>
      <c r="H249" t="s">
        <v>147</v>
      </c>
      <c r="I249" t="s">
        <v>114</v>
      </c>
      <c r="J249" t="s">
        <v>115</v>
      </c>
      <c r="K249" t="s">
        <v>116</v>
      </c>
      <c r="L249" t="s">
        <v>117</v>
      </c>
      <c r="M249" t="s">
        <v>118</v>
      </c>
      <c r="N249" s="17" t="s">
        <v>119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8</v>
      </c>
      <c r="AI249">
        <v>1</v>
      </c>
      <c r="AJ249">
        <v>8</v>
      </c>
      <c r="AK249">
        <v>15</v>
      </c>
      <c r="AL249">
        <v>3</v>
      </c>
      <c r="AM249">
        <v>3</v>
      </c>
      <c r="AN249">
        <v>3</v>
      </c>
      <c r="AO249">
        <v>13</v>
      </c>
      <c r="AP249">
        <v>0</v>
      </c>
      <c r="AQ249">
        <v>0</v>
      </c>
      <c r="AR249">
        <v>22</v>
      </c>
      <c r="AS249">
        <v>32</v>
      </c>
      <c r="AT249">
        <v>54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</v>
      </c>
      <c r="BF249">
        <v>1</v>
      </c>
      <c r="BG249">
        <v>0</v>
      </c>
      <c r="BH249">
        <v>0</v>
      </c>
      <c r="BI249">
        <v>0</v>
      </c>
      <c r="BJ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I249">
        <v>2</v>
      </c>
      <c r="CJ249">
        <v>1</v>
      </c>
      <c r="CK249">
        <v>3</v>
      </c>
      <c r="CL249">
        <v>24</v>
      </c>
      <c r="CM249">
        <v>33</v>
      </c>
      <c r="CN249">
        <v>57</v>
      </c>
    </row>
    <row r="250" spans="1:92" x14ac:dyDescent="0.3">
      <c r="A250" s="19" t="s">
        <v>422</v>
      </c>
      <c r="B250" t="s">
        <v>108</v>
      </c>
      <c r="C250" t="s">
        <v>144</v>
      </c>
      <c r="D250">
        <v>406446</v>
      </c>
      <c r="E250" t="s">
        <v>148</v>
      </c>
      <c r="F250" t="s">
        <v>149</v>
      </c>
      <c r="G250" t="s">
        <v>112</v>
      </c>
      <c r="H250" t="s">
        <v>147</v>
      </c>
      <c r="I250" t="s">
        <v>123</v>
      </c>
      <c r="J250" t="s">
        <v>124</v>
      </c>
      <c r="K250" t="s">
        <v>116</v>
      </c>
      <c r="L250" t="s">
        <v>150</v>
      </c>
      <c r="M250" t="s">
        <v>118</v>
      </c>
      <c r="N250" t="s">
        <v>151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I250">
        <v>1</v>
      </c>
      <c r="CJ250">
        <v>2</v>
      </c>
      <c r="CK250">
        <v>3</v>
      </c>
      <c r="CL250">
        <v>1</v>
      </c>
      <c r="CM250">
        <v>2</v>
      </c>
      <c r="CN250">
        <v>3</v>
      </c>
    </row>
    <row r="251" spans="1:92" x14ac:dyDescent="0.3">
      <c r="A251" s="19" t="s">
        <v>422</v>
      </c>
      <c r="B251" t="s">
        <v>108</v>
      </c>
      <c r="C251" t="s">
        <v>144</v>
      </c>
      <c r="D251">
        <v>407772</v>
      </c>
      <c r="E251" t="s">
        <v>154</v>
      </c>
      <c r="F251" t="s">
        <v>155</v>
      </c>
      <c r="G251" t="s">
        <v>112</v>
      </c>
      <c r="H251" t="s">
        <v>147</v>
      </c>
      <c r="I251" t="s">
        <v>123</v>
      </c>
      <c r="J251" t="s">
        <v>124</v>
      </c>
      <c r="K251" t="s">
        <v>116</v>
      </c>
      <c r="L251" t="s">
        <v>156</v>
      </c>
      <c r="M251" t="s">
        <v>118</v>
      </c>
      <c r="N251" s="18" t="s">
        <v>421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</row>
    <row r="252" spans="1:92" x14ac:dyDescent="0.3">
      <c r="A252" s="19" t="s">
        <v>422</v>
      </c>
      <c r="B252" t="s">
        <v>108</v>
      </c>
      <c r="C252" t="s">
        <v>144</v>
      </c>
      <c r="D252">
        <v>482742</v>
      </c>
      <c r="E252" t="s">
        <v>160</v>
      </c>
      <c r="F252" t="s">
        <v>161</v>
      </c>
      <c r="G252" t="s">
        <v>112</v>
      </c>
      <c r="H252" t="s">
        <v>133</v>
      </c>
      <c r="I252" t="s">
        <v>123</v>
      </c>
      <c r="J252" t="s">
        <v>124</v>
      </c>
      <c r="K252" t="s">
        <v>116</v>
      </c>
      <c r="L252" t="s">
        <v>162</v>
      </c>
      <c r="M252" t="s">
        <v>118</v>
      </c>
      <c r="N252" s="17" t="s">
        <v>163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</row>
    <row r="253" spans="1:92" x14ac:dyDescent="0.3">
      <c r="A253" s="19" t="s">
        <v>422</v>
      </c>
      <c r="B253" t="s">
        <v>108</v>
      </c>
      <c r="C253" t="s">
        <v>144</v>
      </c>
      <c r="D253">
        <v>482792</v>
      </c>
      <c r="E253" t="s">
        <v>164</v>
      </c>
      <c r="F253" t="s">
        <v>165</v>
      </c>
      <c r="G253" t="s">
        <v>112</v>
      </c>
      <c r="H253" t="s">
        <v>147</v>
      </c>
      <c r="I253" t="s">
        <v>123</v>
      </c>
      <c r="J253" t="s">
        <v>124</v>
      </c>
      <c r="K253" t="s">
        <v>116</v>
      </c>
      <c r="L253" t="s">
        <v>162</v>
      </c>
      <c r="M253" t="s">
        <v>118</v>
      </c>
      <c r="N253" s="17" t="s">
        <v>163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</row>
    <row r="254" spans="1:92" x14ac:dyDescent="0.3">
      <c r="A254" s="19" t="s">
        <v>422</v>
      </c>
      <c r="B254" t="s">
        <v>108</v>
      </c>
      <c r="C254" t="s">
        <v>166</v>
      </c>
      <c r="D254">
        <v>305340</v>
      </c>
      <c r="E254" t="s">
        <v>167</v>
      </c>
      <c r="F254" t="s">
        <v>168</v>
      </c>
      <c r="G254" t="s">
        <v>112</v>
      </c>
      <c r="H254" t="s">
        <v>169</v>
      </c>
      <c r="I254" t="s">
        <v>114</v>
      </c>
      <c r="J254" t="s">
        <v>115</v>
      </c>
      <c r="K254" t="s">
        <v>116</v>
      </c>
      <c r="L254" t="s">
        <v>117</v>
      </c>
      <c r="M254" t="s">
        <v>118</v>
      </c>
      <c r="N254" s="17" t="s">
        <v>119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20</v>
      </c>
      <c r="AI254">
        <v>19</v>
      </c>
      <c r="AJ254">
        <v>22</v>
      </c>
      <c r="AK254">
        <v>25</v>
      </c>
      <c r="AL254">
        <v>25</v>
      </c>
      <c r="AM254">
        <v>39</v>
      </c>
      <c r="AN254">
        <v>34</v>
      </c>
      <c r="AO254">
        <v>33</v>
      </c>
      <c r="AP254">
        <v>0</v>
      </c>
      <c r="AQ254">
        <v>0</v>
      </c>
      <c r="AR254">
        <v>101</v>
      </c>
      <c r="AS254">
        <v>116</v>
      </c>
      <c r="AT254">
        <v>217</v>
      </c>
      <c r="AU254">
        <v>1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Q254">
        <v>0</v>
      </c>
      <c r="BR254">
        <v>3</v>
      </c>
      <c r="BS254">
        <v>2</v>
      </c>
      <c r="BT254">
        <v>7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I254">
        <v>5</v>
      </c>
      <c r="CJ254">
        <v>13</v>
      </c>
      <c r="CK254">
        <v>18</v>
      </c>
      <c r="CL254">
        <v>106</v>
      </c>
      <c r="CM254">
        <v>129</v>
      </c>
      <c r="CN254">
        <v>235</v>
      </c>
    </row>
    <row r="255" spans="1:92" x14ac:dyDescent="0.3">
      <c r="A255" s="19" t="s">
        <v>422</v>
      </c>
      <c r="B255" t="s">
        <v>108</v>
      </c>
      <c r="C255" t="s">
        <v>166</v>
      </c>
      <c r="D255">
        <v>305342</v>
      </c>
      <c r="E255" t="s">
        <v>170</v>
      </c>
      <c r="F255" t="s">
        <v>171</v>
      </c>
      <c r="G255" t="s">
        <v>112</v>
      </c>
      <c r="H255" t="s">
        <v>113</v>
      </c>
      <c r="I255" t="s">
        <v>114</v>
      </c>
      <c r="J255" t="s">
        <v>115</v>
      </c>
      <c r="K255" t="s">
        <v>116</v>
      </c>
      <c r="L255" t="s">
        <v>117</v>
      </c>
      <c r="M255" t="s">
        <v>118</v>
      </c>
      <c r="N255" s="17" t="s">
        <v>119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9</v>
      </c>
      <c r="AI255">
        <v>14</v>
      </c>
      <c r="AJ255">
        <v>25</v>
      </c>
      <c r="AK255">
        <v>39</v>
      </c>
      <c r="AL255">
        <v>33</v>
      </c>
      <c r="AM255">
        <v>47</v>
      </c>
      <c r="AN255">
        <v>42</v>
      </c>
      <c r="AO255">
        <v>30</v>
      </c>
      <c r="AP255">
        <v>0</v>
      </c>
      <c r="AQ255">
        <v>0</v>
      </c>
      <c r="AR255">
        <v>109</v>
      </c>
      <c r="AS255">
        <v>130</v>
      </c>
      <c r="AT255">
        <v>239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I255">
        <v>0</v>
      </c>
      <c r="CJ255">
        <v>0</v>
      </c>
      <c r="CK255">
        <v>0</v>
      </c>
      <c r="CL255">
        <v>109</v>
      </c>
      <c r="CM255">
        <v>130</v>
      </c>
      <c r="CN255">
        <v>239</v>
      </c>
    </row>
    <row r="256" spans="1:92" x14ac:dyDescent="0.3">
      <c r="A256" s="19" t="s">
        <v>422</v>
      </c>
      <c r="B256" t="s">
        <v>108</v>
      </c>
      <c r="C256" t="s">
        <v>166</v>
      </c>
      <c r="D256">
        <v>319504</v>
      </c>
      <c r="E256" t="s">
        <v>172</v>
      </c>
      <c r="F256" t="s">
        <v>173</v>
      </c>
      <c r="G256" t="s">
        <v>112</v>
      </c>
      <c r="H256" t="s">
        <v>174</v>
      </c>
      <c r="I256" t="s">
        <v>114</v>
      </c>
      <c r="J256" t="s">
        <v>115</v>
      </c>
      <c r="K256" t="s">
        <v>116</v>
      </c>
      <c r="L256" t="s">
        <v>117</v>
      </c>
      <c r="M256" t="s">
        <v>118</v>
      </c>
      <c r="N256" s="17" t="s">
        <v>119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9</v>
      </c>
      <c r="AI256">
        <v>10</v>
      </c>
      <c r="AJ256">
        <v>4</v>
      </c>
      <c r="AK256">
        <v>8</v>
      </c>
      <c r="AL256">
        <v>25</v>
      </c>
      <c r="AM256">
        <v>37</v>
      </c>
      <c r="AN256">
        <v>27</v>
      </c>
      <c r="AO256">
        <v>21</v>
      </c>
      <c r="AP256">
        <v>0</v>
      </c>
      <c r="AQ256">
        <v>0</v>
      </c>
      <c r="AR256">
        <v>65</v>
      </c>
      <c r="AS256">
        <v>76</v>
      </c>
      <c r="AT256">
        <v>141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I256">
        <v>0</v>
      </c>
      <c r="CJ256">
        <v>0</v>
      </c>
      <c r="CK256">
        <v>0</v>
      </c>
      <c r="CL256">
        <v>65</v>
      </c>
      <c r="CM256">
        <v>76</v>
      </c>
      <c r="CN256">
        <v>141</v>
      </c>
    </row>
    <row r="257" spans="1:92" x14ac:dyDescent="0.3">
      <c r="A257" s="19" t="s">
        <v>422</v>
      </c>
      <c r="B257" t="s">
        <v>108</v>
      </c>
      <c r="C257" t="s">
        <v>166</v>
      </c>
      <c r="D257">
        <v>406472</v>
      </c>
      <c r="E257" t="s">
        <v>175</v>
      </c>
      <c r="F257" t="s">
        <v>176</v>
      </c>
      <c r="G257" t="s">
        <v>112</v>
      </c>
      <c r="H257" t="s">
        <v>174</v>
      </c>
      <c r="I257" t="s">
        <v>123</v>
      </c>
      <c r="J257" t="s">
        <v>124</v>
      </c>
      <c r="K257" t="s">
        <v>116</v>
      </c>
      <c r="L257" t="s">
        <v>156</v>
      </c>
      <c r="M257" t="s">
        <v>118</v>
      </c>
      <c r="N257" s="18" t="s">
        <v>421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</row>
    <row r="258" spans="1:92" x14ac:dyDescent="0.3">
      <c r="A258" s="19" t="s">
        <v>422</v>
      </c>
      <c r="B258" t="s">
        <v>108</v>
      </c>
      <c r="C258" t="s">
        <v>166</v>
      </c>
      <c r="D258">
        <v>482540</v>
      </c>
      <c r="E258" t="s">
        <v>177</v>
      </c>
      <c r="F258" t="s">
        <v>178</v>
      </c>
      <c r="G258" t="s">
        <v>112</v>
      </c>
      <c r="H258" t="s">
        <v>133</v>
      </c>
      <c r="I258" t="s">
        <v>123</v>
      </c>
      <c r="J258" t="s">
        <v>124</v>
      </c>
      <c r="K258" t="s">
        <v>116</v>
      </c>
      <c r="L258" t="s">
        <v>156</v>
      </c>
      <c r="M258" t="s">
        <v>118</v>
      </c>
      <c r="N258" s="18" t="s">
        <v>421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</row>
    <row r="259" spans="1:92" x14ac:dyDescent="0.3">
      <c r="A259" s="19" t="s">
        <v>422</v>
      </c>
      <c r="B259" t="s">
        <v>108</v>
      </c>
      <c r="C259" t="s">
        <v>166</v>
      </c>
      <c r="D259">
        <v>482607</v>
      </c>
      <c r="E259" t="s">
        <v>179</v>
      </c>
      <c r="F259" t="s">
        <v>180</v>
      </c>
      <c r="G259" t="s">
        <v>112</v>
      </c>
      <c r="H259" t="s">
        <v>174</v>
      </c>
      <c r="I259" t="s">
        <v>123</v>
      </c>
      <c r="J259" t="s">
        <v>124</v>
      </c>
      <c r="K259" t="s">
        <v>116</v>
      </c>
      <c r="L259" t="s">
        <v>156</v>
      </c>
      <c r="M259" t="s">
        <v>118</v>
      </c>
      <c r="N259" s="18" t="s">
        <v>421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</row>
    <row r="260" spans="1:92" x14ac:dyDescent="0.3">
      <c r="A260" s="19" t="s">
        <v>422</v>
      </c>
      <c r="B260" t="s">
        <v>108</v>
      </c>
      <c r="C260" t="s">
        <v>181</v>
      </c>
      <c r="D260">
        <v>305336</v>
      </c>
      <c r="E260" t="s">
        <v>182</v>
      </c>
      <c r="F260" t="s">
        <v>183</v>
      </c>
      <c r="G260" t="s">
        <v>112</v>
      </c>
      <c r="H260" t="s">
        <v>129</v>
      </c>
      <c r="I260" t="s">
        <v>114</v>
      </c>
      <c r="J260" t="s">
        <v>115</v>
      </c>
      <c r="K260" t="s">
        <v>116</v>
      </c>
      <c r="L260" t="s">
        <v>117</v>
      </c>
      <c r="M260" t="s">
        <v>118</v>
      </c>
      <c r="N260" s="17" t="s">
        <v>119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</v>
      </c>
      <c r="AI260">
        <v>2</v>
      </c>
      <c r="AJ260">
        <v>4</v>
      </c>
      <c r="AK260">
        <v>7</v>
      </c>
      <c r="AL260">
        <v>1</v>
      </c>
      <c r="AM260">
        <v>3</v>
      </c>
      <c r="AN260">
        <v>2</v>
      </c>
      <c r="AO260">
        <v>5</v>
      </c>
      <c r="AP260">
        <v>0</v>
      </c>
      <c r="AQ260">
        <v>0</v>
      </c>
      <c r="AR260">
        <v>12</v>
      </c>
      <c r="AS260">
        <v>17</v>
      </c>
      <c r="AT260">
        <v>29</v>
      </c>
      <c r="AU260">
        <v>2</v>
      </c>
      <c r="AV260">
        <v>9</v>
      </c>
      <c r="AW260">
        <v>7</v>
      </c>
      <c r="AX260">
        <v>7</v>
      </c>
      <c r="AY260">
        <v>3</v>
      </c>
      <c r="AZ260">
        <v>5</v>
      </c>
      <c r="BA260">
        <v>0</v>
      </c>
      <c r="BB260">
        <v>0</v>
      </c>
      <c r="BC260">
        <v>0</v>
      </c>
      <c r="BD260">
        <v>0</v>
      </c>
      <c r="BE260">
        <v>2</v>
      </c>
      <c r="BF260">
        <v>0</v>
      </c>
      <c r="BG260">
        <v>0</v>
      </c>
      <c r="BH260">
        <v>0</v>
      </c>
      <c r="BI260">
        <v>0</v>
      </c>
      <c r="BJ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I260">
        <v>14</v>
      </c>
      <c r="CJ260">
        <v>21</v>
      </c>
      <c r="CK260">
        <v>35</v>
      </c>
      <c r="CL260">
        <v>26</v>
      </c>
      <c r="CM260">
        <v>38</v>
      </c>
      <c r="CN260">
        <v>64</v>
      </c>
    </row>
    <row r="261" spans="1:92" x14ac:dyDescent="0.3">
      <c r="A261" s="19" t="s">
        <v>422</v>
      </c>
      <c r="B261" t="s">
        <v>108</v>
      </c>
      <c r="C261" t="s">
        <v>181</v>
      </c>
      <c r="D261">
        <v>305338</v>
      </c>
      <c r="E261" t="s">
        <v>184</v>
      </c>
      <c r="F261" t="s">
        <v>185</v>
      </c>
      <c r="G261" t="s">
        <v>112</v>
      </c>
      <c r="H261" t="s">
        <v>186</v>
      </c>
      <c r="I261" t="s">
        <v>114</v>
      </c>
      <c r="J261" t="s">
        <v>115</v>
      </c>
      <c r="K261" t="s">
        <v>116</v>
      </c>
      <c r="L261" t="s">
        <v>187</v>
      </c>
      <c r="M261" t="s">
        <v>118</v>
      </c>
      <c r="N261" s="17" t="s">
        <v>188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13</v>
      </c>
      <c r="AI261">
        <v>4</v>
      </c>
      <c r="AJ261">
        <v>1</v>
      </c>
      <c r="AK261">
        <v>4</v>
      </c>
      <c r="AL261">
        <v>12</v>
      </c>
      <c r="AM261">
        <v>15</v>
      </c>
      <c r="AN261">
        <v>4</v>
      </c>
      <c r="AO261">
        <v>9</v>
      </c>
      <c r="AP261">
        <v>0</v>
      </c>
      <c r="AQ261">
        <v>0</v>
      </c>
      <c r="AR261">
        <v>30</v>
      </c>
      <c r="AS261">
        <v>32</v>
      </c>
      <c r="AT261">
        <v>62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I261">
        <v>0</v>
      </c>
      <c r="CJ261">
        <v>0</v>
      </c>
      <c r="CK261">
        <v>0</v>
      </c>
      <c r="CL261">
        <v>30</v>
      </c>
      <c r="CM261">
        <v>32</v>
      </c>
      <c r="CN261">
        <v>62</v>
      </c>
    </row>
    <row r="262" spans="1:92" x14ac:dyDescent="0.3">
      <c r="A262" s="19" t="s">
        <v>422</v>
      </c>
      <c r="B262" t="s">
        <v>108</v>
      </c>
      <c r="C262" t="s">
        <v>181</v>
      </c>
      <c r="D262">
        <v>305339</v>
      </c>
      <c r="E262" t="s">
        <v>189</v>
      </c>
      <c r="F262" t="s">
        <v>190</v>
      </c>
      <c r="G262" t="s">
        <v>112</v>
      </c>
      <c r="H262" t="s">
        <v>191</v>
      </c>
      <c r="I262" t="s">
        <v>114</v>
      </c>
      <c r="J262" t="s">
        <v>115</v>
      </c>
      <c r="K262" t="s">
        <v>116</v>
      </c>
      <c r="L262" t="s">
        <v>117</v>
      </c>
      <c r="M262" t="s">
        <v>118</v>
      </c>
      <c r="N262" s="17" t="s">
        <v>119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7</v>
      </c>
      <c r="AI262">
        <v>6</v>
      </c>
      <c r="AJ262">
        <v>0</v>
      </c>
      <c r="AK262">
        <v>0</v>
      </c>
      <c r="AL262">
        <v>12</v>
      </c>
      <c r="AM262">
        <v>9</v>
      </c>
      <c r="AN262">
        <v>38</v>
      </c>
      <c r="AO262">
        <v>40</v>
      </c>
      <c r="AP262">
        <v>0</v>
      </c>
      <c r="AQ262">
        <v>0</v>
      </c>
      <c r="AR262">
        <v>57</v>
      </c>
      <c r="AS262">
        <v>55</v>
      </c>
      <c r="AT262">
        <v>112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I262">
        <v>1</v>
      </c>
      <c r="CJ262">
        <v>1</v>
      </c>
      <c r="CK262">
        <v>2</v>
      </c>
      <c r="CL262">
        <v>58</v>
      </c>
      <c r="CM262">
        <v>56</v>
      </c>
      <c r="CN262">
        <v>114</v>
      </c>
    </row>
    <row r="263" spans="1:92" x14ac:dyDescent="0.3">
      <c r="A263" s="19" t="s">
        <v>422</v>
      </c>
      <c r="B263" t="s">
        <v>108</v>
      </c>
      <c r="C263" t="s">
        <v>181</v>
      </c>
      <c r="D263">
        <v>401447</v>
      </c>
      <c r="E263" t="s">
        <v>192</v>
      </c>
      <c r="F263" t="s">
        <v>193</v>
      </c>
      <c r="G263" t="s">
        <v>112</v>
      </c>
      <c r="H263" t="s">
        <v>191</v>
      </c>
      <c r="I263" t="s">
        <v>123</v>
      </c>
      <c r="J263" t="s">
        <v>124</v>
      </c>
      <c r="K263" t="s">
        <v>116</v>
      </c>
      <c r="L263" t="s">
        <v>125</v>
      </c>
      <c r="M263" t="s">
        <v>118</v>
      </c>
      <c r="N263" s="17" t="s">
        <v>126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</row>
    <row r="264" spans="1:92" x14ac:dyDescent="0.3">
      <c r="A264" s="19" t="s">
        <v>422</v>
      </c>
      <c r="B264" t="s">
        <v>108</v>
      </c>
      <c r="C264" t="s">
        <v>181</v>
      </c>
      <c r="D264">
        <v>406474</v>
      </c>
      <c r="E264" t="s">
        <v>194</v>
      </c>
      <c r="F264" t="s">
        <v>195</v>
      </c>
      <c r="G264" t="s">
        <v>112</v>
      </c>
      <c r="H264" t="s">
        <v>186</v>
      </c>
      <c r="I264" t="s">
        <v>123</v>
      </c>
      <c r="J264" t="s">
        <v>124</v>
      </c>
      <c r="K264" t="s">
        <v>116</v>
      </c>
      <c r="L264" t="s">
        <v>150</v>
      </c>
      <c r="M264" t="s">
        <v>118</v>
      </c>
      <c r="N264" t="s">
        <v>151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I264">
        <v>1</v>
      </c>
      <c r="CJ264">
        <v>1</v>
      </c>
      <c r="CK264">
        <v>2</v>
      </c>
      <c r="CL264">
        <v>1</v>
      </c>
      <c r="CM264">
        <v>1</v>
      </c>
      <c r="CN264">
        <v>2</v>
      </c>
    </row>
    <row r="265" spans="1:92" x14ac:dyDescent="0.3">
      <c r="A265" s="19" t="s">
        <v>422</v>
      </c>
      <c r="B265" t="s">
        <v>108</v>
      </c>
      <c r="C265" t="s">
        <v>181</v>
      </c>
      <c r="D265">
        <v>406484</v>
      </c>
      <c r="E265" t="s">
        <v>196</v>
      </c>
      <c r="F265" t="s">
        <v>197</v>
      </c>
      <c r="G265" t="s">
        <v>112</v>
      </c>
      <c r="H265" t="s">
        <v>129</v>
      </c>
      <c r="I265" t="s">
        <v>123</v>
      </c>
      <c r="J265" t="s">
        <v>124</v>
      </c>
      <c r="K265" t="s">
        <v>116</v>
      </c>
      <c r="L265" t="s">
        <v>150</v>
      </c>
      <c r="M265" t="s">
        <v>118</v>
      </c>
      <c r="N265" t="s">
        <v>151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3</v>
      </c>
      <c r="AV265">
        <v>16</v>
      </c>
      <c r="AW265">
        <v>0</v>
      </c>
      <c r="AX265">
        <v>0</v>
      </c>
      <c r="AY265">
        <v>27</v>
      </c>
      <c r="AZ265">
        <v>45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I265">
        <v>30</v>
      </c>
      <c r="CJ265">
        <v>61</v>
      </c>
      <c r="CK265">
        <v>91</v>
      </c>
      <c r="CL265">
        <v>30</v>
      </c>
      <c r="CM265">
        <v>61</v>
      </c>
      <c r="CN265">
        <v>91</v>
      </c>
    </row>
    <row r="266" spans="1:92" x14ac:dyDescent="0.3">
      <c r="A266" s="19" t="s">
        <v>422</v>
      </c>
      <c r="B266" t="s">
        <v>108</v>
      </c>
      <c r="C266" t="s">
        <v>181</v>
      </c>
      <c r="D266">
        <v>406485</v>
      </c>
      <c r="E266" t="s">
        <v>414</v>
      </c>
      <c r="F266" t="s">
        <v>415</v>
      </c>
      <c r="G266" t="s">
        <v>112</v>
      </c>
      <c r="H266" t="s">
        <v>122</v>
      </c>
      <c r="I266" t="s">
        <v>123</v>
      </c>
      <c r="J266" t="s">
        <v>124</v>
      </c>
      <c r="K266" t="s">
        <v>116</v>
      </c>
      <c r="L266" t="s">
        <v>150</v>
      </c>
      <c r="M266" t="s">
        <v>118</v>
      </c>
      <c r="N266" t="s">
        <v>151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</row>
    <row r="267" spans="1:92" x14ac:dyDescent="0.3">
      <c r="A267" s="19" t="s">
        <v>422</v>
      </c>
      <c r="B267" t="s">
        <v>108</v>
      </c>
      <c r="C267" t="s">
        <v>181</v>
      </c>
      <c r="D267">
        <v>406487</v>
      </c>
      <c r="E267" t="s">
        <v>198</v>
      </c>
      <c r="F267" t="s">
        <v>199</v>
      </c>
      <c r="G267" t="s">
        <v>112</v>
      </c>
      <c r="H267" t="s">
        <v>129</v>
      </c>
      <c r="I267" t="s">
        <v>123</v>
      </c>
      <c r="J267" t="s">
        <v>124</v>
      </c>
      <c r="K267" t="s">
        <v>116</v>
      </c>
      <c r="L267" t="s">
        <v>150</v>
      </c>
      <c r="M267" t="s">
        <v>118</v>
      </c>
      <c r="N267" t="s">
        <v>151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</row>
    <row r="268" spans="1:92" x14ac:dyDescent="0.3">
      <c r="A268" s="19" t="s">
        <v>422</v>
      </c>
      <c r="B268" t="s">
        <v>108</v>
      </c>
      <c r="C268" t="s">
        <v>181</v>
      </c>
      <c r="D268">
        <v>406493</v>
      </c>
      <c r="E268" t="s">
        <v>202</v>
      </c>
      <c r="F268" t="s">
        <v>203</v>
      </c>
      <c r="G268" t="s">
        <v>112</v>
      </c>
      <c r="H268" t="s">
        <v>186</v>
      </c>
      <c r="I268" t="s">
        <v>123</v>
      </c>
      <c r="J268" t="s">
        <v>124</v>
      </c>
      <c r="K268" t="s">
        <v>116</v>
      </c>
      <c r="L268" t="s">
        <v>150</v>
      </c>
      <c r="M268" t="s">
        <v>118</v>
      </c>
      <c r="N268" t="s">
        <v>151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</row>
    <row r="269" spans="1:92" x14ac:dyDescent="0.3">
      <c r="A269" s="19" t="s">
        <v>422</v>
      </c>
      <c r="B269" t="s">
        <v>108</v>
      </c>
      <c r="C269" t="s">
        <v>181</v>
      </c>
      <c r="D269">
        <v>406510</v>
      </c>
      <c r="E269" t="s">
        <v>204</v>
      </c>
      <c r="F269" t="s">
        <v>205</v>
      </c>
      <c r="G269" t="s">
        <v>112</v>
      </c>
      <c r="H269" t="s">
        <v>136</v>
      </c>
      <c r="I269" t="s">
        <v>123</v>
      </c>
      <c r="J269" t="s">
        <v>124</v>
      </c>
      <c r="K269" t="s">
        <v>116</v>
      </c>
      <c r="L269" t="s">
        <v>156</v>
      </c>
      <c r="M269" t="s">
        <v>118</v>
      </c>
      <c r="N269" s="18" t="s">
        <v>421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</row>
    <row r="270" spans="1:92" x14ac:dyDescent="0.3">
      <c r="A270" s="19" t="s">
        <v>422</v>
      </c>
      <c r="B270" t="s">
        <v>108</v>
      </c>
      <c r="C270" t="s">
        <v>181</v>
      </c>
      <c r="D270">
        <v>407808</v>
      </c>
      <c r="E270" t="s">
        <v>206</v>
      </c>
      <c r="F270" t="s">
        <v>207</v>
      </c>
      <c r="G270" t="s">
        <v>112</v>
      </c>
      <c r="H270" t="s">
        <v>186</v>
      </c>
      <c r="I270" t="s">
        <v>123</v>
      </c>
      <c r="J270" t="s">
        <v>124</v>
      </c>
      <c r="K270" t="s">
        <v>116</v>
      </c>
      <c r="L270" t="s">
        <v>125</v>
      </c>
      <c r="M270" t="s">
        <v>118</v>
      </c>
      <c r="N270" s="17" t="s">
        <v>126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10</v>
      </c>
      <c r="AX270">
        <v>13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15</v>
      </c>
      <c r="BF270">
        <v>15</v>
      </c>
      <c r="BG270">
        <v>0</v>
      </c>
      <c r="BH270">
        <v>0</v>
      </c>
      <c r="BI270">
        <v>0</v>
      </c>
      <c r="BJ270">
        <v>0</v>
      </c>
      <c r="BQ270">
        <v>3</v>
      </c>
      <c r="BR270">
        <v>15</v>
      </c>
      <c r="BS270">
        <v>11</v>
      </c>
      <c r="BT270">
        <v>18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25</v>
      </c>
      <c r="CB270">
        <v>30</v>
      </c>
      <c r="CC270">
        <v>0</v>
      </c>
      <c r="CD270">
        <v>0</v>
      </c>
      <c r="CE270">
        <v>0</v>
      </c>
      <c r="CF270">
        <v>0</v>
      </c>
      <c r="CI270">
        <v>65</v>
      </c>
      <c r="CJ270">
        <v>92</v>
      </c>
      <c r="CK270">
        <v>157</v>
      </c>
      <c r="CL270">
        <v>65</v>
      </c>
      <c r="CM270">
        <v>92</v>
      </c>
      <c r="CN270">
        <v>157</v>
      </c>
    </row>
    <row r="271" spans="1:92" x14ac:dyDescent="0.3">
      <c r="A271" s="19" t="s">
        <v>422</v>
      </c>
      <c r="B271" t="s">
        <v>108</v>
      </c>
      <c r="C271" t="s">
        <v>181</v>
      </c>
      <c r="D271">
        <v>410119</v>
      </c>
      <c r="E271" t="s">
        <v>208</v>
      </c>
      <c r="F271" t="s">
        <v>209</v>
      </c>
      <c r="G271" t="s">
        <v>112</v>
      </c>
      <c r="H271" t="s">
        <v>136</v>
      </c>
      <c r="I271" t="s">
        <v>123</v>
      </c>
      <c r="J271" t="s">
        <v>124</v>
      </c>
      <c r="K271" t="s">
        <v>116</v>
      </c>
      <c r="L271" t="s">
        <v>162</v>
      </c>
      <c r="M271" t="s">
        <v>118</v>
      </c>
      <c r="N271" s="17" t="s">
        <v>163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</row>
    <row r="272" spans="1:92" x14ac:dyDescent="0.3">
      <c r="A272" s="19" t="s">
        <v>422</v>
      </c>
      <c r="B272" t="s">
        <v>108</v>
      </c>
      <c r="C272" t="s">
        <v>181</v>
      </c>
      <c r="D272">
        <v>482504</v>
      </c>
      <c r="E272" t="s">
        <v>210</v>
      </c>
      <c r="F272" t="s">
        <v>211</v>
      </c>
      <c r="G272" t="s">
        <v>112</v>
      </c>
      <c r="H272" t="s">
        <v>122</v>
      </c>
      <c r="I272" t="s">
        <v>123</v>
      </c>
      <c r="J272" t="s">
        <v>124</v>
      </c>
      <c r="K272" t="s">
        <v>116</v>
      </c>
      <c r="L272" t="s">
        <v>150</v>
      </c>
      <c r="M272" t="s">
        <v>118</v>
      </c>
      <c r="N272" t="s">
        <v>151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</row>
    <row r="273" spans="1:92" x14ac:dyDescent="0.3">
      <c r="A273" s="19" t="s">
        <v>422</v>
      </c>
      <c r="B273" t="s">
        <v>108</v>
      </c>
      <c r="C273" t="s">
        <v>181</v>
      </c>
      <c r="D273">
        <v>482521</v>
      </c>
      <c r="E273" t="s">
        <v>408</v>
      </c>
      <c r="F273" t="s">
        <v>409</v>
      </c>
      <c r="G273" t="s">
        <v>112</v>
      </c>
      <c r="H273" t="s">
        <v>191</v>
      </c>
      <c r="I273" t="s">
        <v>123</v>
      </c>
      <c r="J273" t="s">
        <v>124</v>
      </c>
      <c r="K273" t="s">
        <v>116</v>
      </c>
      <c r="L273" t="s">
        <v>162</v>
      </c>
      <c r="M273" t="s">
        <v>118</v>
      </c>
      <c r="N273" s="17" t="s">
        <v>163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</row>
    <row r="274" spans="1:92" x14ac:dyDescent="0.3">
      <c r="A274" s="19" t="s">
        <v>422</v>
      </c>
      <c r="B274" t="s">
        <v>108</v>
      </c>
      <c r="C274" t="s">
        <v>181</v>
      </c>
      <c r="D274">
        <v>482541</v>
      </c>
      <c r="E274" t="s">
        <v>215</v>
      </c>
      <c r="F274" t="s">
        <v>216</v>
      </c>
      <c r="G274" t="s">
        <v>112</v>
      </c>
      <c r="H274" t="s">
        <v>217</v>
      </c>
      <c r="I274" t="s">
        <v>123</v>
      </c>
      <c r="J274" t="s">
        <v>124</v>
      </c>
      <c r="K274" t="s">
        <v>116</v>
      </c>
      <c r="L274" t="s">
        <v>162</v>
      </c>
      <c r="M274" t="s">
        <v>118</v>
      </c>
      <c r="N274" s="17" t="s">
        <v>163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</row>
    <row r="275" spans="1:92" x14ac:dyDescent="0.3">
      <c r="A275" s="19" t="s">
        <v>422</v>
      </c>
      <c r="B275" t="s">
        <v>108</v>
      </c>
      <c r="C275" t="s">
        <v>181</v>
      </c>
      <c r="D275">
        <v>482600</v>
      </c>
      <c r="E275" t="s">
        <v>218</v>
      </c>
      <c r="F275" t="s">
        <v>219</v>
      </c>
      <c r="G275" t="s">
        <v>112</v>
      </c>
      <c r="H275" t="s">
        <v>186</v>
      </c>
      <c r="I275" t="s">
        <v>123</v>
      </c>
      <c r="J275" t="s">
        <v>124</v>
      </c>
      <c r="K275" t="s">
        <v>116</v>
      </c>
      <c r="L275" t="s">
        <v>156</v>
      </c>
      <c r="M275" t="s">
        <v>118</v>
      </c>
      <c r="N275" s="18" t="s">
        <v>421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</row>
    <row r="276" spans="1:92" x14ac:dyDescent="0.3">
      <c r="A276" s="19" t="s">
        <v>422</v>
      </c>
      <c r="B276" t="s">
        <v>108</v>
      </c>
      <c r="C276" t="s">
        <v>181</v>
      </c>
      <c r="D276">
        <v>482611</v>
      </c>
      <c r="E276" t="s">
        <v>220</v>
      </c>
      <c r="F276" t="s">
        <v>221</v>
      </c>
      <c r="G276" t="s">
        <v>112</v>
      </c>
      <c r="H276" t="s">
        <v>186</v>
      </c>
      <c r="I276" t="s">
        <v>123</v>
      </c>
      <c r="J276" t="s">
        <v>124</v>
      </c>
      <c r="K276" t="s">
        <v>116</v>
      </c>
      <c r="L276" t="s">
        <v>162</v>
      </c>
      <c r="M276" t="s">
        <v>118</v>
      </c>
      <c r="N276" s="17" t="s">
        <v>163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</row>
    <row r="277" spans="1:92" x14ac:dyDescent="0.3">
      <c r="A277" s="19" t="s">
        <v>422</v>
      </c>
      <c r="B277" t="s">
        <v>108</v>
      </c>
      <c r="C277" t="s">
        <v>181</v>
      </c>
      <c r="D277">
        <v>482612</v>
      </c>
      <c r="E277" t="s">
        <v>222</v>
      </c>
      <c r="F277" t="s">
        <v>223</v>
      </c>
      <c r="G277" t="s">
        <v>112</v>
      </c>
      <c r="H277" t="s">
        <v>122</v>
      </c>
      <c r="I277" t="s">
        <v>123</v>
      </c>
      <c r="J277" t="s">
        <v>124</v>
      </c>
      <c r="K277" t="s">
        <v>116</v>
      </c>
      <c r="L277" t="s">
        <v>162</v>
      </c>
      <c r="M277" t="s">
        <v>118</v>
      </c>
      <c r="N277" s="17" t="s">
        <v>163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</row>
    <row r="278" spans="1:92" x14ac:dyDescent="0.3">
      <c r="A278" s="19" t="s">
        <v>422</v>
      </c>
      <c r="B278" t="s">
        <v>108</v>
      </c>
      <c r="C278" t="s">
        <v>181</v>
      </c>
      <c r="D278">
        <v>482617</v>
      </c>
      <c r="E278" t="s">
        <v>224</v>
      </c>
      <c r="F278" t="s">
        <v>225</v>
      </c>
      <c r="G278" t="s">
        <v>112</v>
      </c>
      <c r="H278" t="s">
        <v>191</v>
      </c>
      <c r="I278" t="s">
        <v>123</v>
      </c>
      <c r="J278" t="s">
        <v>124</v>
      </c>
      <c r="K278" t="s">
        <v>116</v>
      </c>
      <c r="L278" t="s">
        <v>150</v>
      </c>
      <c r="M278" t="s">
        <v>118</v>
      </c>
      <c r="N278" t="s">
        <v>151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</row>
    <row r="279" spans="1:92" x14ac:dyDescent="0.3">
      <c r="A279" s="19" t="s">
        <v>422</v>
      </c>
      <c r="B279" t="s">
        <v>108</v>
      </c>
      <c r="C279" t="s">
        <v>181</v>
      </c>
      <c r="D279">
        <v>482619</v>
      </c>
      <c r="E279" t="s">
        <v>226</v>
      </c>
      <c r="F279" t="s">
        <v>227</v>
      </c>
      <c r="G279" t="s">
        <v>112</v>
      </c>
      <c r="H279" t="s">
        <v>191</v>
      </c>
      <c r="I279" t="s">
        <v>123</v>
      </c>
      <c r="J279" t="s">
        <v>124</v>
      </c>
      <c r="K279" t="s">
        <v>116</v>
      </c>
      <c r="L279" t="s">
        <v>156</v>
      </c>
      <c r="M279" t="s">
        <v>118</v>
      </c>
      <c r="N279" s="18" t="s">
        <v>421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</row>
    <row r="280" spans="1:92" x14ac:dyDescent="0.3">
      <c r="A280" s="19" t="s">
        <v>422</v>
      </c>
      <c r="B280" t="s">
        <v>108</v>
      </c>
      <c r="C280" t="s">
        <v>181</v>
      </c>
      <c r="D280">
        <v>482719</v>
      </c>
      <c r="E280" t="s">
        <v>230</v>
      </c>
      <c r="F280" t="s">
        <v>231</v>
      </c>
      <c r="G280" t="s">
        <v>112</v>
      </c>
      <c r="H280" t="s">
        <v>129</v>
      </c>
      <c r="I280" t="s">
        <v>123</v>
      </c>
      <c r="J280" t="s">
        <v>124</v>
      </c>
      <c r="K280" t="s">
        <v>116</v>
      </c>
      <c r="L280" t="s">
        <v>162</v>
      </c>
      <c r="M280" t="s">
        <v>118</v>
      </c>
      <c r="N280" s="17" t="s">
        <v>163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</row>
    <row r="281" spans="1:92" x14ac:dyDescent="0.3">
      <c r="A281" s="19" t="s">
        <v>422</v>
      </c>
      <c r="B281" t="s">
        <v>108</v>
      </c>
      <c r="C281" t="s">
        <v>181</v>
      </c>
      <c r="D281">
        <v>482730</v>
      </c>
      <c r="E281" t="s">
        <v>232</v>
      </c>
      <c r="F281" t="s">
        <v>233</v>
      </c>
      <c r="G281" t="s">
        <v>112</v>
      </c>
      <c r="H281" t="s">
        <v>186</v>
      </c>
      <c r="I281" t="s">
        <v>123</v>
      </c>
      <c r="J281" t="s">
        <v>124</v>
      </c>
      <c r="K281" t="s">
        <v>116</v>
      </c>
      <c r="L281" t="s">
        <v>162</v>
      </c>
      <c r="M281" t="s">
        <v>118</v>
      </c>
      <c r="N281" s="17" t="s">
        <v>163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</row>
    <row r="282" spans="1:92" x14ac:dyDescent="0.3">
      <c r="A282" s="19" t="s">
        <v>422</v>
      </c>
      <c r="B282" t="s">
        <v>108</v>
      </c>
      <c r="C282" t="s">
        <v>181</v>
      </c>
      <c r="D282">
        <v>482821</v>
      </c>
      <c r="E282" t="s">
        <v>234</v>
      </c>
      <c r="F282" t="s">
        <v>235</v>
      </c>
      <c r="G282" t="s">
        <v>112</v>
      </c>
      <c r="H282" t="s">
        <v>191</v>
      </c>
      <c r="I282" t="s">
        <v>123</v>
      </c>
      <c r="J282" t="s">
        <v>124</v>
      </c>
      <c r="K282" t="s">
        <v>116</v>
      </c>
      <c r="L282" t="s">
        <v>162</v>
      </c>
      <c r="M282" t="s">
        <v>118</v>
      </c>
      <c r="N282" s="17" t="s">
        <v>163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</row>
    <row r="283" spans="1:92" x14ac:dyDescent="0.3">
      <c r="A283" s="19" t="s">
        <v>422</v>
      </c>
      <c r="B283" t="s">
        <v>108</v>
      </c>
      <c r="C283" t="s">
        <v>238</v>
      </c>
      <c r="D283">
        <v>406495</v>
      </c>
      <c r="E283" t="s">
        <v>239</v>
      </c>
      <c r="F283" t="s">
        <v>240</v>
      </c>
      <c r="G283" t="s">
        <v>112</v>
      </c>
      <c r="H283" t="s">
        <v>136</v>
      </c>
      <c r="I283" t="s">
        <v>123</v>
      </c>
      <c r="J283" t="s">
        <v>124</v>
      </c>
      <c r="K283" t="s">
        <v>116</v>
      </c>
      <c r="L283" t="s">
        <v>162</v>
      </c>
      <c r="M283" t="s">
        <v>118</v>
      </c>
      <c r="N283" s="17" t="s">
        <v>163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</row>
    <row r="284" spans="1:92" x14ac:dyDescent="0.3">
      <c r="A284" s="19" t="s">
        <v>422</v>
      </c>
      <c r="B284" t="s">
        <v>108</v>
      </c>
      <c r="C284" t="s">
        <v>238</v>
      </c>
      <c r="D284">
        <v>406500</v>
      </c>
      <c r="E284" t="s">
        <v>241</v>
      </c>
      <c r="F284" t="s">
        <v>242</v>
      </c>
      <c r="G284" t="s">
        <v>112</v>
      </c>
      <c r="H284" t="s">
        <v>136</v>
      </c>
      <c r="I284" t="s">
        <v>123</v>
      </c>
      <c r="J284" t="s">
        <v>124</v>
      </c>
      <c r="K284" t="s">
        <v>243</v>
      </c>
      <c r="L284" t="s">
        <v>150</v>
      </c>
      <c r="M284" t="s">
        <v>118</v>
      </c>
      <c r="N284" t="s">
        <v>151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</row>
    <row r="285" spans="1:92" x14ac:dyDescent="0.3">
      <c r="A285" s="19" t="s">
        <v>422</v>
      </c>
      <c r="B285" t="s">
        <v>108</v>
      </c>
      <c r="C285" t="s">
        <v>238</v>
      </c>
      <c r="D285">
        <v>406512</v>
      </c>
      <c r="E285" t="s">
        <v>246</v>
      </c>
      <c r="F285" t="s">
        <v>247</v>
      </c>
      <c r="G285" t="s">
        <v>112</v>
      </c>
      <c r="H285" t="s">
        <v>136</v>
      </c>
      <c r="I285" t="s">
        <v>123</v>
      </c>
      <c r="J285" t="s">
        <v>124</v>
      </c>
      <c r="K285" t="s">
        <v>116</v>
      </c>
      <c r="L285" t="s">
        <v>150</v>
      </c>
      <c r="M285" t="s">
        <v>118</v>
      </c>
      <c r="N285" t="s">
        <v>151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</row>
    <row r="286" spans="1:92" x14ac:dyDescent="0.3">
      <c r="A286" s="19" t="s">
        <v>422</v>
      </c>
      <c r="B286" t="s">
        <v>108</v>
      </c>
      <c r="C286" t="s">
        <v>238</v>
      </c>
      <c r="D286">
        <v>406570</v>
      </c>
      <c r="E286" t="s">
        <v>248</v>
      </c>
      <c r="F286" t="s">
        <v>249</v>
      </c>
      <c r="G286" t="s">
        <v>112</v>
      </c>
      <c r="H286" t="s">
        <v>136</v>
      </c>
      <c r="I286" t="s">
        <v>123</v>
      </c>
      <c r="J286" t="s">
        <v>124</v>
      </c>
      <c r="K286" t="s">
        <v>116</v>
      </c>
      <c r="L286" t="s">
        <v>150</v>
      </c>
      <c r="M286" t="s">
        <v>118</v>
      </c>
      <c r="N286" t="s">
        <v>151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</row>
    <row r="287" spans="1:92" x14ac:dyDescent="0.3">
      <c r="A287" s="19" t="s">
        <v>422</v>
      </c>
      <c r="B287" t="s">
        <v>108</v>
      </c>
      <c r="C287" t="s">
        <v>238</v>
      </c>
      <c r="D287">
        <v>482522</v>
      </c>
      <c r="E287" t="s">
        <v>250</v>
      </c>
      <c r="F287" t="s">
        <v>251</v>
      </c>
      <c r="G287" t="s">
        <v>112</v>
      </c>
      <c r="H287" t="s">
        <v>136</v>
      </c>
      <c r="I287" t="s">
        <v>123</v>
      </c>
      <c r="J287" t="s">
        <v>124</v>
      </c>
      <c r="K287" t="s">
        <v>116</v>
      </c>
      <c r="L287" t="s">
        <v>150</v>
      </c>
      <c r="M287" t="s">
        <v>118</v>
      </c>
      <c r="N287" t="s">
        <v>151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</row>
    <row r="288" spans="1:92" x14ac:dyDescent="0.3">
      <c r="A288" s="19" t="s">
        <v>422</v>
      </c>
      <c r="B288" t="s">
        <v>108</v>
      </c>
      <c r="C288" t="s">
        <v>238</v>
      </c>
      <c r="D288">
        <v>482544</v>
      </c>
      <c r="E288" t="s">
        <v>416</v>
      </c>
      <c r="F288" t="s">
        <v>417</v>
      </c>
      <c r="G288" t="s">
        <v>112</v>
      </c>
      <c r="H288" t="s">
        <v>136</v>
      </c>
      <c r="I288" t="s">
        <v>123</v>
      </c>
      <c r="J288" t="s">
        <v>124</v>
      </c>
      <c r="K288" t="s">
        <v>116</v>
      </c>
      <c r="L288" t="s">
        <v>156</v>
      </c>
      <c r="M288" t="s">
        <v>118</v>
      </c>
      <c r="N288" s="18" t="s">
        <v>421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</row>
    <row r="289" spans="1:92" x14ac:dyDescent="0.3">
      <c r="A289" s="19" t="s">
        <v>422</v>
      </c>
      <c r="B289" t="s">
        <v>108</v>
      </c>
      <c r="C289" t="s">
        <v>256</v>
      </c>
      <c r="D289">
        <v>406018</v>
      </c>
      <c r="E289" t="s">
        <v>257</v>
      </c>
      <c r="F289" t="s">
        <v>258</v>
      </c>
      <c r="G289" t="s">
        <v>112</v>
      </c>
      <c r="H289" t="s">
        <v>174</v>
      </c>
      <c r="I289" t="s">
        <v>123</v>
      </c>
      <c r="J289" t="s">
        <v>124</v>
      </c>
      <c r="K289" t="s">
        <v>116</v>
      </c>
      <c r="L289" t="s">
        <v>125</v>
      </c>
      <c r="M289" t="s">
        <v>118</v>
      </c>
      <c r="N289" s="17" t="s">
        <v>126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</row>
    <row r="290" spans="1:92" x14ac:dyDescent="0.3">
      <c r="A290" s="19" t="s">
        <v>422</v>
      </c>
      <c r="B290" t="s">
        <v>108</v>
      </c>
      <c r="C290" t="s">
        <v>256</v>
      </c>
      <c r="D290">
        <v>410229</v>
      </c>
      <c r="E290" t="s">
        <v>259</v>
      </c>
      <c r="F290" t="s">
        <v>260</v>
      </c>
      <c r="G290" t="s">
        <v>112</v>
      </c>
      <c r="H290" t="s">
        <v>261</v>
      </c>
      <c r="I290" t="s">
        <v>123</v>
      </c>
      <c r="J290" t="s">
        <v>124</v>
      </c>
      <c r="K290" t="s">
        <v>116</v>
      </c>
      <c r="L290" t="s">
        <v>125</v>
      </c>
      <c r="M290" t="s">
        <v>118</v>
      </c>
      <c r="N290" s="17" t="s">
        <v>126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I290">
        <v>0</v>
      </c>
      <c r="CJ290">
        <v>1</v>
      </c>
      <c r="CK290">
        <v>1</v>
      </c>
      <c r="CL290">
        <v>0</v>
      </c>
      <c r="CM290">
        <v>1</v>
      </c>
      <c r="CN290">
        <v>1</v>
      </c>
    </row>
    <row r="291" spans="1:92" x14ac:dyDescent="0.3">
      <c r="A291" s="19" t="s">
        <v>422</v>
      </c>
      <c r="B291" t="s">
        <v>108</v>
      </c>
      <c r="C291" t="s">
        <v>262</v>
      </c>
      <c r="D291">
        <v>136520</v>
      </c>
      <c r="E291" t="s">
        <v>263</v>
      </c>
      <c r="F291" t="s">
        <v>418</v>
      </c>
      <c r="G291" t="s">
        <v>112</v>
      </c>
      <c r="H291" t="s">
        <v>138</v>
      </c>
      <c r="I291" t="s">
        <v>114</v>
      </c>
      <c r="J291" t="s">
        <v>115</v>
      </c>
      <c r="K291" t="s">
        <v>116</v>
      </c>
      <c r="L291" t="s">
        <v>162</v>
      </c>
      <c r="M291" t="s">
        <v>118</v>
      </c>
      <c r="N291" s="17" t="s">
        <v>163</v>
      </c>
      <c r="O291">
        <v>1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2</v>
      </c>
      <c r="AG291">
        <v>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I291">
        <v>0</v>
      </c>
      <c r="CJ291">
        <v>0</v>
      </c>
      <c r="CK291">
        <v>0</v>
      </c>
      <c r="CL291">
        <v>1</v>
      </c>
      <c r="CM291">
        <v>2</v>
      </c>
      <c r="CN291">
        <v>3</v>
      </c>
    </row>
    <row r="292" spans="1:92" x14ac:dyDescent="0.3">
      <c r="A292" s="19" t="s">
        <v>422</v>
      </c>
      <c r="B292" t="s">
        <v>108</v>
      </c>
      <c r="C292" t="s">
        <v>262</v>
      </c>
      <c r="D292">
        <v>136521</v>
      </c>
      <c r="E292" t="s">
        <v>265</v>
      </c>
      <c r="F292" t="s">
        <v>266</v>
      </c>
      <c r="G292" t="s">
        <v>112</v>
      </c>
      <c r="H292" t="s">
        <v>138</v>
      </c>
      <c r="I292" t="s">
        <v>114</v>
      </c>
      <c r="J292" t="s">
        <v>115</v>
      </c>
      <c r="K292" t="s">
        <v>116</v>
      </c>
      <c r="L292" t="s">
        <v>162</v>
      </c>
      <c r="M292" t="s">
        <v>118</v>
      </c>
      <c r="N292" s="17" t="s">
        <v>163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</row>
    <row r="293" spans="1:92" x14ac:dyDescent="0.3">
      <c r="A293" s="19" t="s">
        <v>422</v>
      </c>
      <c r="B293" t="s">
        <v>108</v>
      </c>
      <c r="C293" t="s">
        <v>262</v>
      </c>
      <c r="D293">
        <v>136523</v>
      </c>
      <c r="E293" t="s">
        <v>267</v>
      </c>
      <c r="F293" t="s">
        <v>268</v>
      </c>
      <c r="G293" t="s">
        <v>112</v>
      </c>
      <c r="H293" t="s">
        <v>147</v>
      </c>
      <c r="I293" t="s">
        <v>114</v>
      </c>
      <c r="J293" t="s">
        <v>115</v>
      </c>
      <c r="K293" t="s">
        <v>116</v>
      </c>
      <c r="L293" t="s">
        <v>162</v>
      </c>
      <c r="M293" t="s">
        <v>118</v>
      </c>
      <c r="N293" s="17" t="s">
        <v>163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1</v>
      </c>
      <c r="W293">
        <v>2</v>
      </c>
      <c r="X293">
        <v>1</v>
      </c>
      <c r="Y293">
        <v>4</v>
      </c>
      <c r="Z293">
        <v>5</v>
      </c>
      <c r="AA293">
        <v>0</v>
      </c>
      <c r="AB293">
        <v>0</v>
      </c>
      <c r="AC293">
        <v>1</v>
      </c>
      <c r="AD293">
        <v>1</v>
      </c>
      <c r="AE293">
        <v>7</v>
      </c>
      <c r="AF293">
        <v>10</v>
      </c>
      <c r="AG293">
        <v>17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I293">
        <v>0</v>
      </c>
      <c r="CJ293">
        <v>0</v>
      </c>
      <c r="CK293">
        <v>0</v>
      </c>
      <c r="CL293">
        <v>7</v>
      </c>
      <c r="CM293">
        <v>10</v>
      </c>
      <c r="CN293">
        <v>17</v>
      </c>
    </row>
    <row r="294" spans="1:92" x14ac:dyDescent="0.3">
      <c r="A294" s="19" t="s">
        <v>422</v>
      </c>
      <c r="B294" t="s">
        <v>108</v>
      </c>
      <c r="C294" t="s">
        <v>262</v>
      </c>
      <c r="D294">
        <v>136525</v>
      </c>
      <c r="E294" t="s">
        <v>269</v>
      </c>
      <c r="F294" t="s">
        <v>270</v>
      </c>
      <c r="G294" t="s">
        <v>112</v>
      </c>
      <c r="H294" t="s">
        <v>147</v>
      </c>
      <c r="I294" t="s">
        <v>114</v>
      </c>
      <c r="J294" t="s">
        <v>115</v>
      </c>
      <c r="K294" t="s">
        <v>116</v>
      </c>
      <c r="L294" t="s">
        <v>162</v>
      </c>
      <c r="M294" t="s">
        <v>118</v>
      </c>
      <c r="N294" s="17" t="s">
        <v>163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</row>
    <row r="295" spans="1:92" x14ac:dyDescent="0.3">
      <c r="A295" s="19" t="s">
        <v>422</v>
      </c>
      <c r="B295" t="s">
        <v>108</v>
      </c>
      <c r="C295" t="s">
        <v>262</v>
      </c>
      <c r="D295">
        <v>406533</v>
      </c>
      <c r="E295" t="s">
        <v>271</v>
      </c>
      <c r="F295" t="s">
        <v>272</v>
      </c>
      <c r="G295" t="s">
        <v>112</v>
      </c>
      <c r="H295" t="s">
        <v>129</v>
      </c>
      <c r="I295" t="s">
        <v>123</v>
      </c>
      <c r="J295" t="s">
        <v>130</v>
      </c>
      <c r="K295" t="s">
        <v>116</v>
      </c>
      <c r="L295" t="s">
        <v>125</v>
      </c>
      <c r="M295" t="s">
        <v>118</v>
      </c>
      <c r="N295" s="17" t="s">
        <v>126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</row>
    <row r="296" spans="1:92" x14ac:dyDescent="0.3">
      <c r="A296" s="19" t="s">
        <v>422</v>
      </c>
      <c r="B296" t="s">
        <v>108</v>
      </c>
      <c r="C296" t="s">
        <v>262</v>
      </c>
      <c r="D296">
        <v>482834</v>
      </c>
      <c r="E296" t="s">
        <v>277</v>
      </c>
      <c r="F296" t="s">
        <v>278</v>
      </c>
      <c r="G296" t="s">
        <v>112</v>
      </c>
      <c r="H296" t="s">
        <v>147</v>
      </c>
      <c r="I296" t="s">
        <v>123</v>
      </c>
      <c r="J296" t="s">
        <v>124</v>
      </c>
      <c r="K296" t="s">
        <v>116</v>
      </c>
      <c r="L296" t="s">
        <v>162</v>
      </c>
      <c r="M296" t="s">
        <v>118</v>
      </c>
      <c r="N296" s="17" t="s">
        <v>163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</row>
    <row r="297" spans="1:92" x14ac:dyDescent="0.3">
      <c r="A297" s="19" t="s">
        <v>422</v>
      </c>
      <c r="B297" t="s">
        <v>108</v>
      </c>
      <c r="C297" t="s">
        <v>262</v>
      </c>
      <c r="D297">
        <v>482835</v>
      </c>
      <c r="E297" t="s">
        <v>279</v>
      </c>
      <c r="F297" t="s">
        <v>280</v>
      </c>
      <c r="G297" t="s">
        <v>112</v>
      </c>
      <c r="H297" t="s">
        <v>147</v>
      </c>
      <c r="I297" t="s">
        <v>123</v>
      </c>
      <c r="J297" t="s">
        <v>124</v>
      </c>
      <c r="K297" t="s">
        <v>116</v>
      </c>
      <c r="L297" t="s">
        <v>162</v>
      </c>
      <c r="M297" t="s">
        <v>118</v>
      </c>
      <c r="N297" s="17" t="s">
        <v>163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</row>
    <row r="298" spans="1:92" x14ac:dyDescent="0.3">
      <c r="A298" s="19" t="s">
        <v>422</v>
      </c>
      <c r="B298" t="s">
        <v>108</v>
      </c>
      <c r="C298" t="s">
        <v>262</v>
      </c>
      <c r="D298">
        <v>482916</v>
      </c>
      <c r="E298" t="s">
        <v>281</v>
      </c>
      <c r="F298" t="s">
        <v>282</v>
      </c>
      <c r="G298" t="s">
        <v>112</v>
      </c>
      <c r="H298" t="s">
        <v>174</v>
      </c>
      <c r="I298" t="s">
        <v>123</v>
      </c>
      <c r="J298" t="s">
        <v>124</v>
      </c>
      <c r="K298" t="s">
        <v>116</v>
      </c>
      <c r="L298" t="s">
        <v>214</v>
      </c>
      <c r="M298" t="s">
        <v>118</v>
      </c>
      <c r="N298" s="17" t="s">
        <v>163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</row>
    <row r="299" spans="1:92" x14ac:dyDescent="0.3">
      <c r="A299" s="19" t="s">
        <v>422</v>
      </c>
      <c r="B299" t="s">
        <v>108</v>
      </c>
      <c r="C299" t="s">
        <v>262</v>
      </c>
      <c r="D299">
        <v>482929</v>
      </c>
      <c r="E299" t="s">
        <v>283</v>
      </c>
      <c r="F299" t="s">
        <v>284</v>
      </c>
      <c r="G299" t="s">
        <v>112</v>
      </c>
      <c r="H299" t="s">
        <v>138</v>
      </c>
      <c r="I299" t="s">
        <v>123</v>
      </c>
      <c r="J299" t="s">
        <v>124</v>
      </c>
      <c r="K299" t="s">
        <v>116</v>
      </c>
      <c r="L299" t="s">
        <v>150</v>
      </c>
      <c r="M299" t="s">
        <v>118</v>
      </c>
      <c r="N299" t="s">
        <v>151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</row>
    <row r="300" spans="1:92" x14ac:dyDescent="0.3">
      <c r="A300" s="19" t="s">
        <v>422</v>
      </c>
      <c r="B300" t="s">
        <v>108</v>
      </c>
      <c r="C300" t="s">
        <v>262</v>
      </c>
      <c r="D300">
        <v>482941</v>
      </c>
      <c r="E300" t="s">
        <v>285</v>
      </c>
      <c r="F300" t="s">
        <v>286</v>
      </c>
      <c r="G300" t="s">
        <v>112</v>
      </c>
      <c r="H300" t="s">
        <v>147</v>
      </c>
      <c r="I300" t="s">
        <v>123</v>
      </c>
      <c r="J300" t="s">
        <v>124</v>
      </c>
      <c r="K300" t="s">
        <v>116</v>
      </c>
      <c r="L300" t="s">
        <v>156</v>
      </c>
      <c r="M300" t="s">
        <v>118</v>
      </c>
      <c r="N300" s="18" t="s">
        <v>421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</row>
    <row r="301" spans="1:92" x14ac:dyDescent="0.3">
      <c r="A301" s="19" t="s">
        <v>422</v>
      </c>
      <c r="B301" t="s">
        <v>108</v>
      </c>
      <c r="C301" t="s">
        <v>289</v>
      </c>
      <c r="D301">
        <v>136527</v>
      </c>
      <c r="E301" t="s">
        <v>290</v>
      </c>
      <c r="F301" t="s">
        <v>291</v>
      </c>
      <c r="G301" t="s">
        <v>112</v>
      </c>
      <c r="H301" t="s">
        <v>174</v>
      </c>
      <c r="I301" t="s">
        <v>114</v>
      </c>
      <c r="J301" t="s">
        <v>115</v>
      </c>
      <c r="K301" t="s">
        <v>116</v>
      </c>
      <c r="L301" t="s">
        <v>162</v>
      </c>
      <c r="M301" t="s">
        <v>118</v>
      </c>
      <c r="N301" s="17" t="s">
        <v>163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</v>
      </c>
      <c r="X301">
        <v>2</v>
      </c>
      <c r="Y301">
        <v>1</v>
      </c>
      <c r="Z301">
        <v>3</v>
      </c>
      <c r="AA301">
        <v>0</v>
      </c>
      <c r="AB301">
        <v>0</v>
      </c>
      <c r="AC301">
        <v>0</v>
      </c>
      <c r="AD301">
        <v>0</v>
      </c>
      <c r="AE301">
        <v>3</v>
      </c>
      <c r="AF301">
        <v>5</v>
      </c>
      <c r="AG301">
        <v>8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I301">
        <v>0</v>
      </c>
      <c r="CJ301">
        <v>0</v>
      </c>
      <c r="CK301">
        <v>0</v>
      </c>
      <c r="CL301">
        <v>3</v>
      </c>
      <c r="CM301">
        <v>5</v>
      </c>
      <c r="CN301">
        <v>8</v>
      </c>
    </row>
    <row r="302" spans="1:92" x14ac:dyDescent="0.3">
      <c r="A302" s="19" t="s">
        <v>422</v>
      </c>
      <c r="B302" t="s">
        <v>108</v>
      </c>
      <c r="C302" t="s">
        <v>289</v>
      </c>
      <c r="D302">
        <v>136528</v>
      </c>
      <c r="E302" t="s">
        <v>292</v>
      </c>
      <c r="F302" t="s">
        <v>293</v>
      </c>
      <c r="G302" t="s">
        <v>112</v>
      </c>
      <c r="H302" t="s">
        <v>133</v>
      </c>
      <c r="I302" t="s">
        <v>114</v>
      </c>
      <c r="J302" t="s">
        <v>115</v>
      </c>
      <c r="K302" t="s">
        <v>116</v>
      </c>
      <c r="L302" t="s">
        <v>162</v>
      </c>
      <c r="M302" t="s">
        <v>118</v>
      </c>
      <c r="N302" s="17" t="s">
        <v>163</v>
      </c>
      <c r="O302">
        <v>9</v>
      </c>
      <c r="P302">
        <v>9</v>
      </c>
      <c r="Q302">
        <v>20</v>
      </c>
      <c r="R302">
        <v>15</v>
      </c>
      <c r="S302">
        <v>11</v>
      </c>
      <c r="T302">
        <v>9</v>
      </c>
      <c r="U302">
        <v>22</v>
      </c>
      <c r="V302">
        <v>25</v>
      </c>
      <c r="W302">
        <v>54</v>
      </c>
      <c r="X302">
        <v>63</v>
      </c>
      <c r="Y302">
        <v>53</v>
      </c>
      <c r="Z302">
        <v>54</v>
      </c>
      <c r="AA302">
        <v>54</v>
      </c>
      <c r="AB302">
        <v>54</v>
      </c>
      <c r="AC302">
        <v>3</v>
      </c>
      <c r="AD302">
        <v>4</v>
      </c>
      <c r="AE302">
        <v>226</v>
      </c>
      <c r="AF302">
        <v>233</v>
      </c>
      <c r="AG302">
        <v>459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I302">
        <v>0</v>
      </c>
      <c r="CJ302">
        <v>0</v>
      </c>
      <c r="CK302">
        <v>0</v>
      </c>
      <c r="CL302">
        <v>226</v>
      </c>
      <c r="CM302">
        <v>233</v>
      </c>
      <c r="CN302">
        <v>459</v>
      </c>
    </row>
    <row r="303" spans="1:92" x14ac:dyDescent="0.3">
      <c r="A303" s="19" t="s">
        <v>422</v>
      </c>
      <c r="B303" t="s">
        <v>108</v>
      </c>
      <c r="C303" t="s">
        <v>289</v>
      </c>
      <c r="D303">
        <v>136529</v>
      </c>
      <c r="E303" t="s">
        <v>294</v>
      </c>
      <c r="F303" t="s">
        <v>295</v>
      </c>
      <c r="G303" t="s">
        <v>112</v>
      </c>
      <c r="H303" t="s">
        <v>113</v>
      </c>
      <c r="I303" t="s">
        <v>114</v>
      </c>
      <c r="J303" t="s">
        <v>115</v>
      </c>
      <c r="K303" t="s">
        <v>116</v>
      </c>
      <c r="L303" t="s">
        <v>162</v>
      </c>
      <c r="M303" t="s">
        <v>118</v>
      </c>
      <c r="N303" s="17" t="s">
        <v>163</v>
      </c>
      <c r="O303">
        <v>1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7</v>
      </c>
      <c r="V303">
        <v>1</v>
      </c>
      <c r="W303">
        <v>1</v>
      </c>
      <c r="X303">
        <v>1</v>
      </c>
      <c r="Y303">
        <v>1</v>
      </c>
      <c r="Z303">
        <v>2</v>
      </c>
      <c r="AA303">
        <v>1</v>
      </c>
      <c r="AB303">
        <v>0</v>
      </c>
      <c r="AC303">
        <v>0</v>
      </c>
      <c r="AD303">
        <v>0</v>
      </c>
      <c r="AE303">
        <v>13</v>
      </c>
      <c r="AF303">
        <v>8</v>
      </c>
      <c r="AG303">
        <v>21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I303">
        <v>0</v>
      </c>
      <c r="CJ303">
        <v>0</v>
      </c>
      <c r="CK303">
        <v>0</v>
      </c>
      <c r="CL303">
        <v>13</v>
      </c>
      <c r="CM303">
        <v>8</v>
      </c>
      <c r="CN303">
        <v>21</v>
      </c>
    </row>
    <row r="304" spans="1:92" x14ac:dyDescent="0.3">
      <c r="A304" s="19" t="s">
        <v>422</v>
      </c>
      <c r="B304" t="s">
        <v>108</v>
      </c>
      <c r="C304" t="s">
        <v>289</v>
      </c>
      <c r="D304">
        <v>136530</v>
      </c>
      <c r="E304" t="s">
        <v>296</v>
      </c>
      <c r="F304" t="s">
        <v>297</v>
      </c>
      <c r="G304" t="s">
        <v>112</v>
      </c>
      <c r="H304" t="s">
        <v>261</v>
      </c>
      <c r="I304" t="s">
        <v>114</v>
      </c>
      <c r="J304" t="s">
        <v>115</v>
      </c>
      <c r="K304" t="s">
        <v>116</v>
      </c>
      <c r="L304" t="s">
        <v>162</v>
      </c>
      <c r="M304" t="s">
        <v>118</v>
      </c>
      <c r="N304" s="17" t="s">
        <v>163</v>
      </c>
      <c r="O304">
        <v>1</v>
      </c>
      <c r="P304">
        <v>3</v>
      </c>
      <c r="Q304">
        <v>0</v>
      </c>
      <c r="R304">
        <v>0</v>
      </c>
      <c r="S304">
        <v>2</v>
      </c>
      <c r="T304">
        <v>1</v>
      </c>
      <c r="U304">
        <v>2</v>
      </c>
      <c r="V304">
        <v>2</v>
      </c>
      <c r="W304">
        <v>8</v>
      </c>
      <c r="X304">
        <v>4</v>
      </c>
      <c r="Y304">
        <v>1</v>
      </c>
      <c r="Z304">
        <v>4</v>
      </c>
      <c r="AA304">
        <v>1</v>
      </c>
      <c r="AB304">
        <v>2</v>
      </c>
      <c r="AC304">
        <v>0</v>
      </c>
      <c r="AD304">
        <v>0</v>
      </c>
      <c r="AE304">
        <v>15</v>
      </c>
      <c r="AF304">
        <v>16</v>
      </c>
      <c r="AG304">
        <v>31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I304">
        <v>0</v>
      </c>
      <c r="CJ304">
        <v>0</v>
      </c>
      <c r="CK304">
        <v>0</v>
      </c>
      <c r="CL304">
        <v>15</v>
      </c>
      <c r="CM304">
        <v>16</v>
      </c>
      <c r="CN304">
        <v>31</v>
      </c>
    </row>
    <row r="305" spans="1:92" x14ac:dyDescent="0.3">
      <c r="A305" s="19" t="s">
        <v>422</v>
      </c>
      <c r="B305" t="s">
        <v>108</v>
      </c>
      <c r="C305" t="s">
        <v>289</v>
      </c>
      <c r="D305">
        <v>136538</v>
      </c>
      <c r="E305" t="s">
        <v>298</v>
      </c>
      <c r="F305" t="s">
        <v>299</v>
      </c>
      <c r="G305" t="s">
        <v>112</v>
      </c>
      <c r="H305" t="s">
        <v>169</v>
      </c>
      <c r="I305" t="s">
        <v>114</v>
      </c>
      <c r="J305" t="s">
        <v>115</v>
      </c>
      <c r="K305" t="s">
        <v>116</v>
      </c>
      <c r="L305" t="s">
        <v>162</v>
      </c>
      <c r="M305" t="s">
        <v>118</v>
      </c>
      <c r="N305" s="17" t="s">
        <v>163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0</v>
      </c>
      <c r="U305">
        <v>3</v>
      </c>
      <c r="V305">
        <v>2</v>
      </c>
      <c r="W305">
        <v>3</v>
      </c>
      <c r="X305">
        <v>4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8</v>
      </c>
      <c r="AF305">
        <v>9</v>
      </c>
      <c r="AG305">
        <v>17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I305">
        <v>0</v>
      </c>
      <c r="CJ305">
        <v>0</v>
      </c>
      <c r="CK305">
        <v>0</v>
      </c>
      <c r="CL305">
        <v>8</v>
      </c>
      <c r="CM305">
        <v>9</v>
      </c>
      <c r="CN305">
        <v>17</v>
      </c>
    </row>
    <row r="306" spans="1:92" x14ac:dyDescent="0.3">
      <c r="A306" s="19" t="s">
        <v>422</v>
      </c>
      <c r="B306" t="s">
        <v>108</v>
      </c>
      <c r="C306" t="s">
        <v>289</v>
      </c>
      <c r="D306">
        <v>340697</v>
      </c>
      <c r="E306" t="s">
        <v>300</v>
      </c>
      <c r="F306" t="s">
        <v>301</v>
      </c>
      <c r="G306" t="s">
        <v>112</v>
      </c>
      <c r="H306" t="s">
        <v>133</v>
      </c>
      <c r="I306" t="s">
        <v>114</v>
      </c>
      <c r="J306" t="s">
        <v>115</v>
      </c>
      <c r="K306" t="s">
        <v>116</v>
      </c>
      <c r="L306" t="s">
        <v>125</v>
      </c>
      <c r="M306" t="s">
        <v>118</v>
      </c>
      <c r="N306" s="17" t="s">
        <v>126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I306">
        <v>2</v>
      </c>
      <c r="CJ306">
        <v>0</v>
      </c>
      <c r="CK306">
        <v>2</v>
      </c>
      <c r="CL306">
        <v>2</v>
      </c>
      <c r="CM306">
        <v>0</v>
      </c>
      <c r="CN306">
        <v>2</v>
      </c>
    </row>
    <row r="307" spans="1:92" x14ac:dyDescent="0.3">
      <c r="A307" s="19" t="s">
        <v>422</v>
      </c>
      <c r="B307" t="s">
        <v>108</v>
      </c>
      <c r="C307" t="s">
        <v>289</v>
      </c>
      <c r="D307">
        <v>409329</v>
      </c>
      <c r="E307" t="s">
        <v>302</v>
      </c>
      <c r="F307" t="s">
        <v>303</v>
      </c>
      <c r="G307" t="s">
        <v>112</v>
      </c>
      <c r="H307" t="s">
        <v>217</v>
      </c>
      <c r="I307" t="s">
        <v>123</v>
      </c>
      <c r="J307" t="s">
        <v>124</v>
      </c>
      <c r="K307" t="s">
        <v>116</v>
      </c>
      <c r="L307" t="s">
        <v>162</v>
      </c>
      <c r="M307" t="s">
        <v>118</v>
      </c>
      <c r="N307" s="17" t="s">
        <v>163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</row>
    <row r="308" spans="1:92" x14ac:dyDescent="0.3">
      <c r="A308" s="19" t="s">
        <v>422</v>
      </c>
      <c r="B308" t="s">
        <v>108</v>
      </c>
      <c r="C308" t="s">
        <v>289</v>
      </c>
      <c r="D308">
        <v>409731</v>
      </c>
      <c r="E308" t="s">
        <v>304</v>
      </c>
      <c r="F308" t="s">
        <v>305</v>
      </c>
      <c r="G308" t="s">
        <v>112</v>
      </c>
      <c r="H308" t="s">
        <v>113</v>
      </c>
      <c r="I308" t="s">
        <v>123</v>
      </c>
      <c r="J308" t="s">
        <v>124</v>
      </c>
      <c r="K308" t="s">
        <v>116</v>
      </c>
      <c r="L308" t="s">
        <v>162</v>
      </c>
      <c r="M308" t="s">
        <v>118</v>
      </c>
      <c r="N308" s="17" t="s">
        <v>163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</row>
    <row r="309" spans="1:92" x14ac:dyDescent="0.3">
      <c r="A309" s="19" t="s">
        <v>422</v>
      </c>
      <c r="B309" t="s">
        <v>108</v>
      </c>
      <c r="C309" t="s">
        <v>289</v>
      </c>
      <c r="D309">
        <v>409737</v>
      </c>
      <c r="E309" t="s">
        <v>306</v>
      </c>
      <c r="F309" t="s">
        <v>307</v>
      </c>
      <c r="G309" t="s">
        <v>112</v>
      </c>
      <c r="H309" t="s">
        <v>133</v>
      </c>
      <c r="I309" t="s">
        <v>123</v>
      </c>
      <c r="J309" t="s">
        <v>124</v>
      </c>
      <c r="K309" t="s">
        <v>116</v>
      </c>
      <c r="L309" t="s">
        <v>125</v>
      </c>
      <c r="M309" t="s">
        <v>118</v>
      </c>
      <c r="N309" s="17" t="s">
        <v>126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</v>
      </c>
      <c r="AV309">
        <v>6</v>
      </c>
      <c r="AW309">
        <v>10</v>
      </c>
      <c r="AX309">
        <v>11</v>
      </c>
      <c r="AY309">
        <v>7</v>
      </c>
      <c r="AZ309">
        <v>2</v>
      </c>
      <c r="BA309">
        <v>5</v>
      </c>
      <c r="BB309">
        <v>2</v>
      </c>
      <c r="BC309">
        <v>0</v>
      </c>
      <c r="BD309">
        <v>0</v>
      </c>
      <c r="BE309">
        <v>9</v>
      </c>
      <c r="BF309">
        <v>6</v>
      </c>
      <c r="BG309">
        <v>0</v>
      </c>
      <c r="BH309">
        <v>0</v>
      </c>
      <c r="BI309">
        <v>0</v>
      </c>
      <c r="BJ309">
        <v>0</v>
      </c>
      <c r="BQ309">
        <v>10</v>
      </c>
      <c r="BR309">
        <v>17</v>
      </c>
      <c r="BS309">
        <v>11</v>
      </c>
      <c r="BT309">
        <v>18</v>
      </c>
      <c r="BU309">
        <v>11</v>
      </c>
      <c r="BV309">
        <v>11</v>
      </c>
      <c r="BW309">
        <v>6</v>
      </c>
      <c r="BX309">
        <v>7</v>
      </c>
      <c r="BY309">
        <v>0</v>
      </c>
      <c r="BZ309">
        <v>0</v>
      </c>
      <c r="CA309">
        <v>12</v>
      </c>
      <c r="CB309">
        <v>25</v>
      </c>
      <c r="CC309">
        <v>0</v>
      </c>
      <c r="CD309">
        <v>0</v>
      </c>
      <c r="CE309">
        <v>0</v>
      </c>
      <c r="CF309">
        <v>0</v>
      </c>
      <c r="CI309">
        <v>83</v>
      </c>
      <c r="CJ309">
        <v>105</v>
      </c>
      <c r="CK309">
        <v>188</v>
      </c>
      <c r="CL309">
        <v>83</v>
      </c>
      <c r="CM309">
        <v>105</v>
      </c>
      <c r="CN309">
        <v>188</v>
      </c>
    </row>
    <row r="310" spans="1:92" x14ac:dyDescent="0.3">
      <c r="A310" s="19" t="s">
        <v>422</v>
      </c>
      <c r="B310" t="s">
        <v>108</v>
      </c>
      <c r="C310" t="s">
        <v>289</v>
      </c>
      <c r="D310">
        <v>482836</v>
      </c>
      <c r="E310" t="s">
        <v>310</v>
      </c>
      <c r="F310" t="s">
        <v>311</v>
      </c>
      <c r="G310" t="s">
        <v>112</v>
      </c>
      <c r="H310" t="s">
        <v>174</v>
      </c>
      <c r="I310" t="s">
        <v>123</v>
      </c>
      <c r="J310" t="s">
        <v>124</v>
      </c>
      <c r="K310" t="s">
        <v>116</v>
      </c>
      <c r="L310" t="s">
        <v>162</v>
      </c>
      <c r="M310" t="s">
        <v>118</v>
      </c>
      <c r="N310" s="17" t="s">
        <v>163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</row>
    <row r="311" spans="1:92" x14ac:dyDescent="0.3">
      <c r="A311" s="19" t="s">
        <v>422</v>
      </c>
      <c r="B311" t="s">
        <v>108</v>
      </c>
      <c r="C311" t="s">
        <v>289</v>
      </c>
      <c r="D311">
        <v>482887</v>
      </c>
      <c r="E311" t="s">
        <v>312</v>
      </c>
      <c r="F311" t="s">
        <v>313</v>
      </c>
      <c r="G311" t="s">
        <v>112</v>
      </c>
      <c r="H311" t="s">
        <v>113</v>
      </c>
      <c r="I311" t="s">
        <v>123</v>
      </c>
      <c r="J311" t="s">
        <v>124</v>
      </c>
      <c r="K311" t="s">
        <v>116</v>
      </c>
      <c r="L311" t="s">
        <v>162</v>
      </c>
      <c r="M311" t="s">
        <v>118</v>
      </c>
      <c r="N311" s="17" t="s">
        <v>163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</row>
    <row r="312" spans="1:92" x14ac:dyDescent="0.3">
      <c r="A312" s="19" t="s">
        <v>422</v>
      </c>
      <c r="B312" t="s">
        <v>108</v>
      </c>
      <c r="C312" t="s">
        <v>289</v>
      </c>
      <c r="D312">
        <v>482889</v>
      </c>
      <c r="E312" t="s">
        <v>314</v>
      </c>
      <c r="F312" t="s">
        <v>315</v>
      </c>
      <c r="G312" t="s">
        <v>112</v>
      </c>
      <c r="H312" t="s">
        <v>113</v>
      </c>
      <c r="I312" t="s">
        <v>123</v>
      </c>
      <c r="J312" t="s">
        <v>124</v>
      </c>
      <c r="K312" t="s">
        <v>116</v>
      </c>
      <c r="L312" t="s">
        <v>162</v>
      </c>
      <c r="M312" t="s">
        <v>118</v>
      </c>
      <c r="N312" s="17" t="s">
        <v>163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</row>
    <row r="313" spans="1:92" x14ac:dyDescent="0.3">
      <c r="A313" s="19" t="s">
        <v>422</v>
      </c>
      <c r="B313" t="s">
        <v>108</v>
      </c>
      <c r="C313" t="s">
        <v>289</v>
      </c>
      <c r="D313">
        <v>482890</v>
      </c>
      <c r="E313" t="s">
        <v>316</v>
      </c>
      <c r="F313" t="s">
        <v>317</v>
      </c>
      <c r="G313" t="s">
        <v>112</v>
      </c>
      <c r="H313" t="s">
        <v>261</v>
      </c>
      <c r="I313" t="s">
        <v>123</v>
      </c>
      <c r="J313" t="s">
        <v>124</v>
      </c>
      <c r="K313" t="s">
        <v>116</v>
      </c>
      <c r="L313" t="s">
        <v>162</v>
      </c>
      <c r="M313" t="s">
        <v>118</v>
      </c>
      <c r="N313" s="17" t="s">
        <v>163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</row>
    <row r="314" spans="1:92" x14ac:dyDescent="0.3">
      <c r="A314" s="19" t="s">
        <v>422</v>
      </c>
      <c r="B314" t="s">
        <v>108</v>
      </c>
      <c r="C314" t="s">
        <v>289</v>
      </c>
      <c r="D314">
        <v>482909</v>
      </c>
      <c r="E314" t="s">
        <v>322</v>
      </c>
      <c r="F314" t="s">
        <v>323</v>
      </c>
      <c r="G314" t="s">
        <v>112</v>
      </c>
      <c r="H314" t="s">
        <v>113</v>
      </c>
      <c r="I314" t="s">
        <v>123</v>
      </c>
      <c r="J314" t="s">
        <v>124</v>
      </c>
      <c r="K314" t="s">
        <v>116</v>
      </c>
      <c r="L314" t="s">
        <v>162</v>
      </c>
      <c r="M314" t="s">
        <v>118</v>
      </c>
      <c r="N314" s="17" t="s">
        <v>163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</row>
    <row r="315" spans="1:92" x14ac:dyDescent="0.3">
      <c r="A315" s="19" t="s">
        <v>422</v>
      </c>
      <c r="B315" t="s">
        <v>108</v>
      </c>
      <c r="C315" t="s">
        <v>289</v>
      </c>
      <c r="D315">
        <v>482963</v>
      </c>
      <c r="E315" t="s">
        <v>324</v>
      </c>
      <c r="F315" t="s">
        <v>325</v>
      </c>
      <c r="G315" t="s">
        <v>112</v>
      </c>
      <c r="H315" t="s">
        <v>113</v>
      </c>
      <c r="I315" t="s">
        <v>123</v>
      </c>
      <c r="J315" t="s">
        <v>124</v>
      </c>
      <c r="K315" t="s">
        <v>116</v>
      </c>
      <c r="L315" t="s">
        <v>162</v>
      </c>
      <c r="M315" t="s">
        <v>118</v>
      </c>
      <c r="N315" s="17" t="s">
        <v>163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</row>
    <row r="316" spans="1:92" x14ac:dyDescent="0.3">
      <c r="A316" s="19" t="s">
        <v>422</v>
      </c>
      <c r="B316" t="s">
        <v>108</v>
      </c>
      <c r="C316" t="s">
        <v>289</v>
      </c>
      <c r="D316">
        <v>482978</v>
      </c>
      <c r="E316" t="s">
        <v>326</v>
      </c>
      <c r="F316" t="s">
        <v>327</v>
      </c>
      <c r="G316" t="s">
        <v>112</v>
      </c>
      <c r="H316" t="s">
        <v>113</v>
      </c>
      <c r="I316" t="s">
        <v>123</v>
      </c>
      <c r="J316" t="s">
        <v>124</v>
      </c>
      <c r="K316" t="s">
        <v>116</v>
      </c>
      <c r="L316" t="s">
        <v>162</v>
      </c>
      <c r="M316" t="s">
        <v>118</v>
      </c>
      <c r="N316" s="17" t="s">
        <v>163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</row>
    <row r="317" spans="1:92" x14ac:dyDescent="0.3">
      <c r="A317" s="19" t="s">
        <v>422</v>
      </c>
      <c r="B317" t="s">
        <v>108</v>
      </c>
      <c r="C317" t="s">
        <v>289</v>
      </c>
      <c r="D317">
        <v>482979</v>
      </c>
      <c r="E317" t="s">
        <v>328</v>
      </c>
      <c r="F317" t="s">
        <v>329</v>
      </c>
      <c r="G317" t="s">
        <v>112</v>
      </c>
      <c r="H317" t="s">
        <v>133</v>
      </c>
      <c r="I317" t="s">
        <v>123</v>
      </c>
      <c r="J317" t="s">
        <v>124</v>
      </c>
      <c r="K317" t="s">
        <v>116</v>
      </c>
      <c r="L317" t="s">
        <v>150</v>
      </c>
      <c r="M317" t="s">
        <v>118</v>
      </c>
      <c r="N317" t="s">
        <v>151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</row>
    <row r="318" spans="1:92" x14ac:dyDescent="0.3">
      <c r="A318" s="19" t="s">
        <v>422</v>
      </c>
      <c r="B318" t="s">
        <v>108</v>
      </c>
      <c r="C318" t="s">
        <v>289</v>
      </c>
      <c r="D318">
        <v>482980</v>
      </c>
      <c r="E318" t="s">
        <v>330</v>
      </c>
      <c r="F318" t="s">
        <v>331</v>
      </c>
      <c r="G318" t="s">
        <v>112</v>
      </c>
      <c r="H318" t="s">
        <v>133</v>
      </c>
      <c r="I318" t="s">
        <v>123</v>
      </c>
      <c r="J318" t="s">
        <v>124</v>
      </c>
      <c r="K318" t="s">
        <v>116</v>
      </c>
      <c r="L318" t="s">
        <v>162</v>
      </c>
      <c r="M318" t="s">
        <v>118</v>
      </c>
      <c r="N318" s="17" t="s">
        <v>163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</row>
    <row r="319" spans="1:92" x14ac:dyDescent="0.3">
      <c r="A319" s="19" t="s">
        <v>422</v>
      </c>
      <c r="B319" t="s">
        <v>108</v>
      </c>
      <c r="C319" t="s">
        <v>332</v>
      </c>
      <c r="D319">
        <v>136531</v>
      </c>
      <c r="E319" t="s">
        <v>333</v>
      </c>
      <c r="F319" t="s">
        <v>419</v>
      </c>
      <c r="G319" t="s">
        <v>112</v>
      </c>
      <c r="H319" t="s">
        <v>217</v>
      </c>
      <c r="I319" t="s">
        <v>114</v>
      </c>
      <c r="J319" t="s">
        <v>115</v>
      </c>
      <c r="K319" t="s">
        <v>116</v>
      </c>
      <c r="L319" t="s">
        <v>162</v>
      </c>
      <c r="M319" t="s">
        <v>118</v>
      </c>
      <c r="N319" s="17" t="s">
        <v>163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1</v>
      </c>
    </row>
    <row r="320" spans="1:92" x14ac:dyDescent="0.3">
      <c r="A320" s="19" t="s">
        <v>422</v>
      </c>
      <c r="B320" t="s">
        <v>108</v>
      </c>
      <c r="C320" t="s">
        <v>332</v>
      </c>
      <c r="D320">
        <v>136532</v>
      </c>
      <c r="E320" t="s">
        <v>335</v>
      </c>
      <c r="F320" t="s">
        <v>336</v>
      </c>
      <c r="G320" t="s">
        <v>112</v>
      </c>
      <c r="H320" t="s">
        <v>122</v>
      </c>
      <c r="I320" t="s">
        <v>114</v>
      </c>
      <c r="J320" t="s">
        <v>115</v>
      </c>
      <c r="K320" t="s">
        <v>116</v>
      </c>
      <c r="L320" t="s">
        <v>162</v>
      </c>
      <c r="M320" t="s">
        <v>118</v>
      </c>
      <c r="N320" s="17" t="s">
        <v>163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4</v>
      </c>
      <c r="AF320">
        <v>3</v>
      </c>
      <c r="AG320">
        <v>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I320">
        <v>0</v>
      </c>
      <c r="CJ320">
        <v>0</v>
      </c>
      <c r="CK320">
        <v>0</v>
      </c>
      <c r="CL320">
        <v>4</v>
      </c>
      <c r="CM320">
        <v>3</v>
      </c>
      <c r="CN320">
        <v>7</v>
      </c>
    </row>
    <row r="321" spans="1:92" x14ac:dyDescent="0.3">
      <c r="A321" s="19" t="s">
        <v>422</v>
      </c>
      <c r="B321" t="s">
        <v>108</v>
      </c>
      <c r="C321" t="s">
        <v>332</v>
      </c>
      <c r="D321">
        <v>136533</v>
      </c>
      <c r="E321" t="s">
        <v>337</v>
      </c>
      <c r="F321" t="s">
        <v>338</v>
      </c>
      <c r="G321" t="s">
        <v>112</v>
      </c>
      <c r="H321" t="s">
        <v>122</v>
      </c>
      <c r="I321" t="s">
        <v>114</v>
      </c>
      <c r="J321" t="s">
        <v>115</v>
      </c>
      <c r="K321" t="s">
        <v>116</v>
      </c>
      <c r="L321" t="s">
        <v>162</v>
      </c>
      <c r="M321" t="s">
        <v>118</v>
      </c>
      <c r="N321" s="17" t="s">
        <v>163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3</v>
      </c>
      <c r="AF321">
        <v>1</v>
      </c>
      <c r="AG321">
        <v>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I321">
        <v>0</v>
      </c>
      <c r="CJ321">
        <v>0</v>
      </c>
      <c r="CK321">
        <v>0</v>
      </c>
      <c r="CL321">
        <v>3</v>
      </c>
      <c r="CM321">
        <v>1</v>
      </c>
      <c r="CN321">
        <v>4</v>
      </c>
    </row>
    <row r="322" spans="1:92" x14ac:dyDescent="0.3">
      <c r="A322" s="19" t="s">
        <v>422</v>
      </c>
      <c r="B322" t="s">
        <v>108</v>
      </c>
      <c r="C322" t="s">
        <v>332</v>
      </c>
      <c r="D322">
        <v>136534</v>
      </c>
      <c r="E322" t="s">
        <v>339</v>
      </c>
      <c r="F322" t="s">
        <v>420</v>
      </c>
      <c r="G322" t="s">
        <v>112</v>
      </c>
      <c r="H322" t="s">
        <v>129</v>
      </c>
      <c r="I322" t="s">
        <v>114</v>
      </c>
      <c r="J322" t="s">
        <v>115</v>
      </c>
      <c r="K322" t="s">
        <v>116</v>
      </c>
      <c r="L322" t="s">
        <v>162</v>
      </c>
      <c r="M322" t="s">
        <v>118</v>
      </c>
      <c r="N322" s="17" t="s">
        <v>163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</row>
    <row r="323" spans="1:92" x14ac:dyDescent="0.3">
      <c r="A323" s="19" t="s">
        <v>422</v>
      </c>
      <c r="B323" t="s">
        <v>108</v>
      </c>
      <c r="C323" t="s">
        <v>332</v>
      </c>
      <c r="D323">
        <v>136535</v>
      </c>
      <c r="E323" t="s">
        <v>341</v>
      </c>
      <c r="F323" t="s">
        <v>342</v>
      </c>
      <c r="G323" t="s">
        <v>112</v>
      </c>
      <c r="H323" t="s">
        <v>186</v>
      </c>
      <c r="I323" t="s">
        <v>114</v>
      </c>
      <c r="J323" t="s">
        <v>115</v>
      </c>
      <c r="K323" t="s">
        <v>116</v>
      </c>
      <c r="L323" t="s">
        <v>162</v>
      </c>
      <c r="M323" t="s">
        <v>118</v>
      </c>
      <c r="N323" s="17" t="s">
        <v>163</v>
      </c>
      <c r="O323">
        <v>1</v>
      </c>
      <c r="P323">
        <v>0</v>
      </c>
      <c r="Q323">
        <v>2</v>
      </c>
      <c r="R323">
        <v>1</v>
      </c>
      <c r="S323">
        <v>2</v>
      </c>
      <c r="T323">
        <v>9</v>
      </c>
      <c r="U323">
        <v>13</v>
      </c>
      <c r="V323">
        <v>8</v>
      </c>
      <c r="W323">
        <v>4</v>
      </c>
      <c r="X323">
        <v>4</v>
      </c>
      <c r="Y323">
        <v>7</v>
      </c>
      <c r="Z323">
        <v>7</v>
      </c>
      <c r="AA323">
        <v>11</v>
      </c>
      <c r="AB323">
        <v>11</v>
      </c>
      <c r="AC323">
        <v>0</v>
      </c>
      <c r="AD323">
        <v>0</v>
      </c>
      <c r="AE323">
        <v>40</v>
      </c>
      <c r="AF323">
        <v>40</v>
      </c>
      <c r="AG323">
        <v>80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I323">
        <v>0</v>
      </c>
      <c r="CJ323">
        <v>0</v>
      </c>
      <c r="CK323">
        <v>0</v>
      </c>
      <c r="CL323">
        <v>40</v>
      </c>
      <c r="CM323">
        <v>40</v>
      </c>
      <c r="CN323">
        <v>80</v>
      </c>
    </row>
    <row r="324" spans="1:92" x14ac:dyDescent="0.3">
      <c r="A324" s="19" t="s">
        <v>422</v>
      </c>
      <c r="B324" t="s">
        <v>108</v>
      </c>
      <c r="C324" t="s">
        <v>332</v>
      </c>
      <c r="D324">
        <v>136536</v>
      </c>
      <c r="E324" t="s">
        <v>343</v>
      </c>
      <c r="F324" t="s">
        <v>344</v>
      </c>
      <c r="G324" t="s">
        <v>112</v>
      </c>
      <c r="H324" t="s">
        <v>217</v>
      </c>
      <c r="I324" t="s">
        <v>114</v>
      </c>
      <c r="J324" t="s">
        <v>115</v>
      </c>
      <c r="K324" t="s">
        <v>116</v>
      </c>
      <c r="L324" t="s">
        <v>162</v>
      </c>
      <c r="M324" t="s">
        <v>118</v>
      </c>
      <c r="N324" s="17" t="s">
        <v>163</v>
      </c>
      <c r="O324">
        <v>0</v>
      </c>
      <c r="P324">
        <v>1</v>
      </c>
      <c r="Q324">
        <v>3</v>
      </c>
      <c r="R324">
        <v>3</v>
      </c>
      <c r="S324">
        <v>3</v>
      </c>
      <c r="T324">
        <v>1</v>
      </c>
      <c r="U324">
        <v>2</v>
      </c>
      <c r="V324">
        <v>7</v>
      </c>
      <c r="W324">
        <v>22</v>
      </c>
      <c r="X324">
        <v>17</v>
      </c>
      <c r="Y324">
        <v>18</v>
      </c>
      <c r="Z324">
        <v>11</v>
      </c>
      <c r="AA324">
        <v>18</v>
      </c>
      <c r="AB324">
        <v>19</v>
      </c>
      <c r="AC324">
        <v>0</v>
      </c>
      <c r="AD324">
        <v>0</v>
      </c>
      <c r="AE324">
        <v>66</v>
      </c>
      <c r="AF324">
        <v>59</v>
      </c>
      <c r="AG324">
        <v>125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I324">
        <v>0</v>
      </c>
      <c r="CJ324">
        <v>0</v>
      </c>
      <c r="CK324">
        <v>0</v>
      </c>
      <c r="CL324">
        <v>66</v>
      </c>
      <c r="CM324">
        <v>59</v>
      </c>
      <c r="CN324">
        <v>125</v>
      </c>
    </row>
    <row r="325" spans="1:92" x14ac:dyDescent="0.3">
      <c r="A325" s="19" t="s">
        <v>422</v>
      </c>
      <c r="B325" t="s">
        <v>108</v>
      </c>
      <c r="C325" t="s">
        <v>332</v>
      </c>
      <c r="D325">
        <v>136537</v>
      </c>
      <c r="E325" t="s">
        <v>345</v>
      </c>
      <c r="F325" t="s">
        <v>346</v>
      </c>
      <c r="G325" t="s">
        <v>112</v>
      </c>
      <c r="H325" t="s">
        <v>191</v>
      </c>
      <c r="I325" t="s">
        <v>114</v>
      </c>
      <c r="J325" t="s">
        <v>115</v>
      </c>
      <c r="K325" t="s">
        <v>116</v>
      </c>
      <c r="L325" t="s">
        <v>162</v>
      </c>
      <c r="M325" t="s">
        <v>118</v>
      </c>
      <c r="N325" s="17" t="s">
        <v>163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4</v>
      </c>
      <c r="V325">
        <v>10</v>
      </c>
      <c r="W325">
        <v>3</v>
      </c>
      <c r="X325">
        <v>1</v>
      </c>
      <c r="Y325">
        <v>2</v>
      </c>
      <c r="Z325">
        <v>1</v>
      </c>
      <c r="AA325">
        <v>1</v>
      </c>
      <c r="AB325">
        <v>1</v>
      </c>
      <c r="AC325">
        <v>0</v>
      </c>
      <c r="AD325">
        <v>0</v>
      </c>
      <c r="AE325">
        <v>10</v>
      </c>
      <c r="AF325">
        <v>14</v>
      </c>
      <c r="AG325">
        <v>24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I325">
        <v>0</v>
      </c>
      <c r="CJ325">
        <v>0</v>
      </c>
      <c r="CK325">
        <v>0</v>
      </c>
      <c r="CL325">
        <v>10</v>
      </c>
      <c r="CM325">
        <v>14</v>
      </c>
      <c r="CN325">
        <v>24</v>
      </c>
    </row>
    <row r="326" spans="1:92" x14ac:dyDescent="0.3">
      <c r="A326" s="19" t="s">
        <v>422</v>
      </c>
      <c r="B326" t="s">
        <v>108</v>
      </c>
      <c r="C326" t="s">
        <v>332</v>
      </c>
      <c r="D326">
        <v>136543</v>
      </c>
      <c r="E326" t="s">
        <v>347</v>
      </c>
      <c r="F326" t="s">
        <v>411</v>
      </c>
      <c r="G326" t="s">
        <v>112</v>
      </c>
      <c r="H326" t="s">
        <v>136</v>
      </c>
      <c r="I326" t="s">
        <v>114</v>
      </c>
      <c r="J326" t="s">
        <v>115</v>
      </c>
      <c r="K326" t="s">
        <v>116</v>
      </c>
      <c r="L326" t="s">
        <v>162</v>
      </c>
      <c r="M326" t="s">
        <v>118</v>
      </c>
      <c r="N326" s="17" t="s">
        <v>163</v>
      </c>
      <c r="O326">
        <v>0</v>
      </c>
      <c r="P326">
        <v>1</v>
      </c>
      <c r="Q326">
        <v>5</v>
      </c>
      <c r="R326">
        <v>1</v>
      </c>
      <c r="S326">
        <v>2</v>
      </c>
      <c r="T326">
        <v>3</v>
      </c>
      <c r="U326">
        <v>0</v>
      </c>
      <c r="V326">
        <v>1</v>
      </c>
      <c r="W326">
        <v>1</v>
      </c>
      <c r="X326">
        <v>1</v>
      </c>
      <c r="Y326">
        <v>4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12</v>
      </c>
      <c r="AF326">
        <v>11</v>
      </c>
      <c r="AG326">
        <v>23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I326">
        <v>0</v>
      </c>
      <c r="CJ326">
        <v>0</v>
      </c>
      <c r="CK326">
        <v>0</v>
      </c>
      <c r="CL326">
        <v>12</v>
      </c>
      <c r="CM326">
        <v>11</v>
      </c>
      <c r="CN326">
        <v>23</v>
      </c>
    </row>
    <row r="327" spans="1:92" x14ac:dyDescent="0.3">
      <c r="A327" s="19" t="s">
        <v>422</v>
      </c>
      <c r="B327" t="s">
        <v>108</v>
      </c>
      <c r="C327" t="s">
        <v>332</v>
      </c>
      <c r="D327">
        <v>222501</v>
      </c>
      <c r="E327" t="s">
        <v>349</v>
      </c>
      <c r="F327" t="s">
        <v>350</v>
      </c>
      <c r="G327" t="s">
        <v>112</v>
      </c>
      <c r="H327" t="s">
        <v>351</v>
      </c>
      <c r="I327" t="s">
        <v>114</v>
      </c>
      <c r="J327" t="s">
        <v>115</v>
      </c>
      <c r="K327" t="s">
        <v>116</v>
      </c>
      <c r="L327" t="s">
        <v>162</v>
      </c>
      <c r="M327" t="s">
        <v>118</v>
      </c>
      <c r="N327" s="17" t="s">
        <v>163</v>
      </c>
      <c r="O327">
        <v>2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</v>
      </c>
      <c r="W327">
        <v>2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4</v>
      </c>
      <c r="AF327">
        <v>6</v>
      </c>
      <c r="AG327">
        <v>10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I327">
        <v>0</v>
      </c>
      <c r="CJ327">
        <v>0</v>
      </c>
      <c r="CK327">
        <v>0</v>
      </c>
      <c r="CL327">
        <v>4</v>
      </c>
      <c r="CM327">
        <v>6</v>
      </c>
      <c r="CN327">
        <v>10</v>
      </c>
    </row>
    <row r="328" spans="1:92" x14ac:dyDescent="0.3">
      <c r="A328" s="19" t="s">
        <v>422</v>
      </c>
      <c r="B328" t="s">
        <v>108</v>
      </c>
      <c r="C328" t="s">
        <v>332</v>
      </c>
      <c r="D328">
        <v>305635</v>
      </c>
      <c r="E328" t="s">
        <v>352</v>
      </c>
      <c r="F328" t="s">
        <v>412</v>
      </c>
      <c r="G328" t="s">
        <v>112</v>
      </c>
      <c r="H328" t="s">
        <v>136</v>
      </c>
      <c r="I328" t="s">
        <v>114</v>
      </c>
      <c r="J328" t="s">
        <v>115</v>
      </c>
      <c r="K328" t="s">
        <v>116</v>
      </c>
      <c r="L328" t="s">
        <v>187</v>
      </c>
      <c r="M328" t="s">
        <v>118</v>
      </c>
      <c r="N328" s="17" t="s">
        <v>188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</v>
      </c>
      <c r="AL328">
        <v>3</v>
      </c>
      <c r="AM328">
        <v>2</v>
      </c>
      <c r="AN328">
        <v>0</v>
      </c>
      <c r="AO328">
        <v>0</v>
      </c>
      <c r="AP328">
        <v>0</v>
      </c>
      <c r="AQ328">
        <v>0</v>
      </c>
      <c r="AR328">
        <v>3</v>
      </c>
      <c r="AS328">
        <v>5</v>
      </c>
      <c r="AT328">
        <v>8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I328">
        <v>0</v>
      </c>
      <c r="CJ328">
        <v>0</v>
      </c>
      <c r="CK328">
        <v>0</v>
      </c>
      <c r="CL328">
        <v>3</v>
      </c>
      <c r="CM328">
        <v>5</v>
      </c>
      <c r="CN328">
        <v>8</v>
      </c>
    </row>
    <row r="329" spans="1:92" x14ac:dyDescent="0.3">
      <c r="A329" s="19" t="s">
        <v>422</v>
      </c>
      <c r="B329" t="s">
        <v>108</v>
      </c>
      <c r="C329" t="s">
        <v>332</v>
      </c>
      <c r="D329">
        <v>406492</v>
      </c>
      <c r="E329" t="s">
        <v>354</v>
      </c>
      <c r="F329" t="s">
        <v>355</v>
      </c>
      <c r="G329" t="s">
        <v>112</v>
      </c>
      <c r="H329" t="s">
        <v>122</v>
      </c>
      <c r="I329" t="s">
        <v>123</v>
      </c>
      <c r="J329" t="s">
        <v>124</v>
      </c>
      <c r="K329" t="s">
        <v>116</v>
      </c>
      <c r="L329" t="s">
        <v>150</v>
      </c>
      <c r="M329" t="s">
        <v>118</v>
      </c>
      <c r="N329" t="s">
        <v>151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</row>
    <row r="330" spans="1:92" x14ac:dyDescent="0.3">
      <c r="A330" s="19" t="s">
        <v>422</v>
      </c>
      <c r="B330" t="s">
        <v>108</v>
      </c>
      <c r="C330" t="s">
        <v>332</v>
      </c>
      <c r="D330">
        <v>408390</v>
      </c>
      <c r="E330" t="s">
        <v>356</v>
      </c>
      <c r="F330" t="s">
        <v>357</v>
      </c>
      <c r="G330" t="s">
        <v>112</v>
      </c>
      <c r="H330" t="s">
        <v>136</v>
      </c>
      <c r="I330" t="s">
        <v>123</v>
      </c>
      <c r="J330" t="s">
        <v>124</v>
      </c>
      <c r="K330" t="s">
        <v>116</v>
      </c>
      <c r="L330" t="s">
        <v>162</v>
      </c>
      <c r="M330" t="s">
        <v>118</v>
      </c>
      <c r="N330" s="17" t="s">
        <v>163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</row>
    <row r="331" spans="1:92" x14ac:dyDescent="0.3">
      <c r="A331" s="19" t="s">
        <v>422</v>
      </c>
      <c r="B331" t="s">
        <v>108</v>
      </c>
      <c r="C331" t="s">
        <v>332</v>
      </c>
      <c r="D331">
        <v>408616</v>
      </c>
      <c r="E331" t="s">
        <v>358</v>
      </c>
      <c r="F331" t="s">
        <v>359</v>
      </c>
      <c r="G331" t="s">
        <v>112</v>
      </c>
      <c r="H331" t="s">
        <v>186</v>
      </c>
      <c r="I331" t="s">
        <v>123</v>
      </c>
      <c r="J331" t="s">
        <v>124</v>
      </c>
      <c r="K331" t="s">
        <v>116</v>
      </c>
      <c r="L331" t="s">
        <v>214</v>
      </c>
      <c r="M331" t="s">
        <v>118</v>
      </c>
      <c r="N331" s="17" t="s">
        <v>163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</row>
    <row r="332" spans="1:92" x14ac:dyDescent="0.3">
      <c r="A332" s="19" t="s">
        <v>422</v>
      </c>
      <c r="B332" t="s">
        <v>108</v>
      </c>
      <c r="C332" t="s">
        <v>332</v>
      </c>
      <c r="D332">
        <v>408783</v>
      </c>
      <c r="E332" t="s">
        <v>360</v>
      </c>
      <c r="F332" t="s">
        <v>361</v>
      </c>
      <c r="G332" t="s">
        <v>112</v>
      </c>
      <c r="H332" t="s">
        <v>136</v>
      </c>
      <c r="I332" t="s">
        <v>123</v>
      </c>
      <c r="J332" t="s">
        <v>124</v>
      </c>
      <c r="K332" t="s">
        <v>116</v>
      </c>
      <c r="L332" t="s">
        <v>214</v>
      </c>
      <c r="M332" t="s">
        <v>118</v>
      </c>
      <c r="N332" s="17" t="s">
        <v>163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1:92" x14ac:dyDescent="0.3">
      <c r="A333" s="19" t="s">
        <v>422</v>
      </c>
      <c r="B333" t="s">
        <v>108</v>
      </c>
      <c r="C333" t="s">
        <v>332</v>
      </c>
      <c r="D333">
        <v>408809</v>
      </c>
      <c r="E333" t="s">
        <v>362</v>
      </c>
      <c r="F333" t="s">
        <v>363</v>
      </c>
      <c r="G333" t="s">
        <v>112</v>
      </c>
      <c r="H333" t="s">
        <v>136</v>
      </c>
      <c r="I333" t="s">
        <v>123</v>
      </c>
      <c r="J333" t="s">
        <v>124</v>
      </c>
      <c r="K333" t="s">
        <v>116</v>
      </c>
      <c r="L333" t="s">
        <v>156</v>
      </c>
      <c r="M333" t="s">
        <v>118</v>
      </c>
      <c r="N333" s="18" t="s">
        <v>421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1:92" x14ac:dyDescent="0.3">
      <c r="A334" s="19" t="s">
        <v>422</v>
      </c>
      <c r="B334" t="s">
        <v>108</v>
      </c>
      <c r="C334" t="s">
        <v>332</v>
      </c>
      <c r="D334">
        <v>408851</v>
      </c>
      <c r="E334" t="s">
        <v>364</v>
      </c>
      <c r="F334" t="s">
        <v>365</v>
      </c>
      <c r="G334" t="s">
        <v>112</v>
      </c>
      <c r="H334" t="s">
        <v>122</v>
      </c>
      <c r="I334" t="s">
        <v>123</v>
      </c>
      <c r="J334" t="s">
        <v>124</v>
      </c>
      <c r="K334" t="s">
        <v>116</v>
      </c>
      <c r="L334" t="s">
        <v>125</v>
      </c>
      <c r="M334" t="s">
        <v>118</v>
      </c>
      <c r="N334" s="17" t="s">
        <v>126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</v>
      </c>
      <c r="AX334">
        <v>3</v>
      </c>
      <c r="AY334">
        <v>0</v>
      </c>
      <c r="AZ334">
        <v>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I334">
        <v>2</v>
      </c>
      <c r="CJ334">
        <v>8</v>
      </c>
      <c r="CK334">
        <v>10</v>
      </c>
      <c r="CL334">
        <v>2</v>
      </c>
      <c r="CM334">
        <v>8</v>
      </c>
      <c r="CN334">
        <v>10</v>
      </c>
    </row>
    <row r="335" spans="1:92" x14ac:dyDescent="0.3">
      <c r="A335" s="19" t="s">
        <v>422</v>
      </c>
      <c r="B335" t="s">
        <v>108</v>
      </c>
      <c r="C335" t="s">
        <v>332</v>
      </c>
      <c r="D335">
        <v>409734</v>
      </c>
      <c r="E335" t="s">
        <v>366</v>
      </c>
      <c r="F335" t="s">
        <v>367</v>
      </c>
      <c r="G335" t="s">
        <v>112</v>
      </c>
      <c r="H335" t="s">
        <v>186</v>
      </c>
      <c r="I335" t="s">
        <v>123</v>
      </c>
      <c r="J335" t="s">
        <v>124</v>
      </c>
      <c r="K335" t="s">
        <v>116</v>
      </c>
      <c r="L335" t="s">
        <v>125</v>
      </c>
      <c r="M335" t="s">
        <v>118</v>
      </c>
      <c r="N335" s="17" t="s">
        <v>126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1:92" x14ac:dyDescent="0.3">
      <c r="A336" s="19" t="s">
        <v>422</v>
      </c>
      <c r="B336" t="s">
        <v>108</v>
      </c>
      <c r="C336" t="s">
        <v>332</v>
      </c>
      <c r="D336">
        <v>409888</v>
      </c>
      <c r="E336" t="s">
        <v>368</v>
      </c>
      <c r="F336" t="s">
        <v>369</v>
      </c>
      <c r="G336" t="s">
        <v>112</v>
      </c>
      <c r="H336" t="s">
        <v>136</v>
      </c>
      <c r="I336" t="s">
        <v>123</v>
      </c>
      <c r="J336" t="s">
        <v>124</v>
      </c>
      <c r="K336" t="s">
        <v>116</v>
      </c>
      <c r="L336" t="s">
        <v>162</v>
      </c>
      <c r="M336" t="s">
        <v>118</v>
      </c>
      <c r="N336" s="17" t="s">
        <v>163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7" spans="1:92" x14ac:dyDescent="0.3">
      <c r="A337" s="19" t="s">
        <v>422</v>
      </c>
      <c r="B337" t="s">
        <v>108</v>
      </c>
      <c r="C337" t="s">
        <v>332</v>
      </c>
      <c r="D337">
        <v>482709</v>
      </c>
      <c r="E337" t="s">
        <v>374</v>
      </c>
      <c r="F337" t="s">
        <v>375</v>
      </c>
      <c r="G337" t="s">
        <v>112</v>
      </c>
      <c r="H337" t="s">
        <v>147</v>
      </c>
      <c r="I337" t="s">
        <v>123</v>
      </c>
      <c r="J337" t="s">
        <v>124</v>
      </c>
      <c r="K337" t="s">
        <v>116</v>
      </c>
      <c r="L337" t="s">
        <v>150</v>
      </c>
      <c r="M337" t="s">
        <v>118</v>
      </c>
      <c r="N337" t="s">
        <v>151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</row>
    <row r="338" spans="1:92" x14ac:dyDescent="0.3">
      <c r="A338" s="19" t="s">
        <v>422</v>
      </c>
      <c r="B338" t="s">
        <v>108</v>
      </c>
      <c r="C338" t="s">
        <v>332</v>
      </c>
      <c r="D338">
        <v>482716</v>
      </c>
      <c r="E338" t="s">
        <v>376</v>
      </c>
      <c r="F338" t="s">
        <v>377</v>
      </c>
      <c r="G338" t="s">
        <v>112</v>
      </c>
      <c r="H338" t="s">
        <v>129</v>
      </c>
      <c r="I338" t="s">
        <v>123</v>
      </c>
      <c r="J338" t="s">
        <v>124</v>
      </c>
      <c r="K338" t="s">
        <v>116</v>
      </c>
      <c r="L338" t="s">
        <v>150</v>
      </c>
      <c r="M338" t="s">
        <v>118</v>
      </c>
      <c r="N338" t="s">
        <v>151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</row>
    <row r="339" spans="1:92" x14ac:dyDescent="0.3">
      <c r="A339" s="19" t="s">
        <v>422</v>
      </c>
      <c r="B339" t="s">
        <v>108</v>
      </c>
      <c r="C339" t="s">
        <v>332</v>
      </c>
      <c r="D339">
        <v>482885</v>
      </c>
      <c r="E339" t="s">
        <v>378</v>
      </c>
      <c r="F339" t="s">
        <v>379</v>
      </c>
      <c r="G339" t="s">
        <v>112</v>
      </c>
      <c r="H339" t="s">
        <v>136</v>
      </c>
      <c r="I339" t="s">
        <v>123</v>
      </c>
      <c r="J339" t="s">
        <v>124</v>
      </c>
      <c r="K339" t="s">
        <v>116</v>
      </c>
      <c r="L339" t="s">
        <v>162</v>
      </c>
      <c r="M339" t="s">
        <v>118</v>
      </c>
      <c r="N339" s="17" t="s">
        <v>163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</row>
    <row r="340" spans="1:92" x14ac:dyDescent="0.3">
      <c r="A340" s="19" t="s">
        <v>422</v>
      </c>
      <c r="B340" t="s">
        <v>108</v>
      </c>
      <c r="C340" t="s">
        <v>332</v>
      </c>
      <c r="D340">
        <v>482891</v>
      </c>
      <c r="E340" t="s">
        <v>380</v>
      </c>
      <c r="F340" t="s">
        <v>381</v>
      </c>
      <c r="G340" t="s">
        <v>112</v>
      </c>
      <c r="H340" t="s">
        <v>191</v>
      </c>
      <c r="I340" t="s">
        <v>123</v>
      </c>
      <c r="J340" t="s">
        <v>124</v>
      </c>
      <c r="K340" t="s">
        <v>116</v>
      </c>
      <c r="L340" t="s">
        <v>162</v>
      </c>
      <c r="M340" t="s">
        <v>118</v>
      </c>
      <c r="N340" s="17" t="s">
        <v>163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</row>
    <row r="341" spans="1:92" x14ac:dyDescent="0.3">
      <c r="A341" s="19" t="s">
        <v>422</v>
      </c>
      <c r="B341" t="s">
        <v>108</v>
      </c>
      <c r="C341" t="s">
        <v>332</v>
      </c>
      <c r="D341">
        <v>482971</v>
      </c>
      <c r="E341" t="s">
        <v>390</v>
      </c>
      <c r="F341" t="s">
        <v>391</v>
      </c>
      <c r="G341" t="s">
        <v>112</v>
      </c>
      <c r="H341" t="s">
        <v>136</v>
      </c>
      <c r="I341" t="s">
        <v>123</v>
      </c>
      <c r="J341" t="s">
        <v>124</v>
      </c>
      <c r="K341" t="s">
        <v>116</v>
      </c>
      <c r="L341" t="s">
        <v>413</v>
      </c>
      <c r="M341" t="s">
        <v>118</v>
      </c>
      <c r="N341" s="17" t="s">
        <v>151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1:92" x14ac:dyDescent="0.3">
      <c r="A342" s="19" t="s">
        <v>422</v>
      </c>
      <c r="B342" t="s">
        <v>108</v>
      </c>
      <c r="C342" t="s">
        <v>332</v>
      </c>
      <c r="D342">
        <v>482987</v>
      </c>
      <c r="E342" t="s">
        <v>392</v>
      </c>
      <c r="F342" t="s">
        <v>393</v>
      </c>
      <c r="G342" t="s">
        <v>112</v>
      </c>
      <c r="H342" t="s">
        <v>191</v>
      </c>
      <c r="I342" t="s">
        <v>123</v>
      </c>
      <c r="J342" t="s">
        <v>124</v>
      </c>
      <c r="K342" t="s">
        <v>116</v>
      </c>
      <c r="L342" t="s">
        <v>117</v>
      </c>
      <c r="M342" t="s">
        <v>118</v>
      </c>
      <c r="N342" s="17" t="s">
        <v>119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1:92" x14ac:dyDescent="0.3">
      <c r="A343" s="19" t="s">
        <v>422</v>
      </c>
      <c r="B343" t="s">
        <v>108</v>
      </c>
      <c r="C343" t="s">
        <v>394</v>
      </c>
      <c r="D343">
        <v>360867</v>
      </c>
      <c r="E343" t="s">
        <v>395</v>
      </c>
      <c r="F343" t="s">
        <v>338</v>
      </c>
      <c r="G343" t="s">
        <v>112</v>
      </c>
      <c r="H343" t="s">
        <v>122</v>
      </c>
      <c r="I343" t="s">
        <v>114</v>
      </c>
      <c r="J343" t="s">
        <v>115</v>
      </c>
      <c r="K343" t="s">
        <v>116</v>
      </c>
      <c r="L343" t="s">
        <v>117</v>
      </c>
      <c r="M343" t="s">
        <v>118</v>
      </c>
      <c r="N343" s="17" t="s">
        <v>119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1:92" x14ac:dyDescent="0.3">
      <c r="A344" s="19" t="s">
        <v>422</v>
      </c>
      <c r="B344" t="s">
        <v>108</v>
      </c>
      <c r="C344" t="s">
        <v>394</v>
      </c>
      <c r="D344">
        <v>401443</v>
      </c>
      <c r="E344" t="s">
        <v>396</v>
      </c>
      <c r="F344" t="s">
        <v>397</v>
      </c>
      <c r="G344" t="s">
        <v>112</v>
      </c>
      <c r="H344" t="s">
        <v>129</v>
      </c>
      <c r="I344" t="s">
        <v>123</v>
      </c>
      <c r="J344" t="s">
        <v>124</v>
      </c>
      <c r="K344" t="s">
        <v>116</v>
      </c>
      <c r="L344" t="s">
        <v>125</v>
      </c>
      <c r="M344" t="s">
        <v>118</v>
      </c>
      <c r="N344" s="17" t="s">
        <v>126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1:92" x14ac:dyDescent="0.3">
      <c r="A345" s="19" t="s">
        <v>422</v>
      </c>
      <c r="B345" t="s">
        <v>108</v>
      </c>
      <c r="C345" t="s">
        <v>394</v>
      </c>
      <c r="D345">
        <v>406423</v>
      </c>
      <c r="E345" t="s">
        <v>398</v>
      </c>
      <c r="F345" t="s">
        <v>399</v>
      </c>
      <c r="G345" t="s">
        <v>112</v>
      </c>
      <c r="H345" t="s">
        <v>129</v>
      </c>
      <c r="I345" t="s">
        <v>123</v>
      </c>
      <c r="J345" t="s">
        <v>124</v>
      </c>
      <c r="K345" t="s">
        <v>116</v>
      </c>
      <c r="L345" t="s">
        <v>125</v>
      </c>
      <c r="M345" t="s">
        <v>118</v>
      </c>
      <c r="N345" s="17" t="s">
        <v>126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6" spans="1:92" x14ac:dyDescent="0.3">
      <c r="A346" s="20" t="s">
        <v>423</v>
      </c>
      <c r="B346" t="s">
        <v>108</v>
      </c>
      <c r="C346" t="s">
        <v>109</v>
      </c>
      <c r="D346">
        <v>340690</v>
      </c>
      <c r="E346" t="s">
        <v>110</v>
      </c>
      <c r="F346" t="s">
        <v>111</v>
      </c>
      <c r="G346" t="s">
        <v>112</v>
      </c>
      <c r="H346" t="s">
        <v>113</v>
      </c>
      <c r="I346" t="s">
        <v>114</v>
      </c>
      <c r="J346" t="s">
        <v>115</v>
      </c>
      <c r="K346" t="s">
        <v>116</v>
      </c>
      <c r="L346" t="s">
        <v>118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</v>
      </c>
      <c r="AV346">
        <v>1</v>
      </c>
      <c r="AW346">
        <v>5</v>
      </c>
      <c r="AX346">
        <v>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</v>
      </c>
      <c r="BF346">
        <v>9</v>
      </c>
      <c r="BG346">
        <v>0</v>
      </c>
      <c r="BH346">
        <v>0</v>
      </c>
      <c r="BI346">
        <v>0</v>
      </c>
      <c r="BJ346">
        <v>0</v>
      </c>
      <c r="BQ346">
        <v>1</v>
      </c>
      <c r="BR346">
        <v>6</v>
      </c>
      <c r="BS346">
        <v>7</v>
      </c>
      <c r="BT346">
        <v>7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13</v>
      </c>
      <c r="CB346">
        <v>7</v>
      </c>
      <c r="CC346">
        <v>0</v>
      </c>
      <c r="CD346">
        <v>0</v>
      </c>
      <c r="CE346">
        <v>0</v>
      </c>
      <c r="CF346">
        <v>0</v>
      </c>
      <c r="CI346">
        <v>34</v>
      </c>
      <c r="CJ346">
        <v>38</v>
      </c>
      <c r="CK346">
        <v>72</v>
      </c>
      <c r="CL346">
        <v>34</v>
      </c>
      <c r="CM346">
        <v>38</v>
      </c>
      <c r="CN346">
        <v>72</v>
      </c>
    </row>
    <row r="347" spans="1:92" x14ac:dyDescent="0.3">
      <c r="A347" s="20" t="s">
        <v>423</v>
      </c>
      <c r="B347" t="s">
        <v>108</v>
      </c>
      <c r="C347" t="s">
        <v>109</v>
      </c>
      <c r="D347">
        <v>401453</v>
      </c>
      <c r="E347" t="s">
        <v>120</v>
      </c>
      <c r="F347" t="s">
        <v>121</v>
      </c>
      <c r="G347" t="s">
        <v>112</v>
      </c>
      <c r="H347" t="s">
        <v>122</v>
      </c>
      <c r="I347" t="s">
        <v>123</v>
      </c>
      <c r="J347" t="s">
        <v>124</v>
      </c>
      <c r="K347" t="s">
        <v>116</v>
      </c>
      <c r="L347" t="s">
        <v>118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9</v>
      </c>
      <c r="AV347">
        <v>18</v>
      </c>
      <c r="AW347">
        <v>31</v>
      </c>
      <c r="AX347">
        <v>29</v>
      </c>
      <c r="AY347">
        <v>15</v>
      </c>
      <c r="AZ347">
        <v>17</v>
      </c>
      <c r="BA347">
        <v>6</v>
      </c>
      <c r="BB347">
        <v>4</v>
      </c>
      <c r="BC347">
        <v>0</v>
      </c>
      <c r="BD347">
        <v>1</v>
      </c>
      <c r="BE347">
        <v>30</v>
      </c>
      <c r="BF347">
        <v>13</v>
      </c>
      <c r="BG347">
        <v>0</v>
      </c>
      <c r="BH347">
        <v>0</v>
      </c>
      <c r="BI347">
        <v>0</v>
      </c>
      <c r="BJ347">
        <v>0</v>
      </c>
      <c r="BQ347">
        <v>5</v>
      </c>
      <c r="BR347">
        <v>16</v>
      </c>
      <c r="BS347">
        <v>17</v>
      </c>
      <c r="BT347">
        <v>9</v>
      </c>
      <c r="BU347">
        <v>2</v>
      </c>
      <c r="BV347">
        <v>5</v>
      </c>
      <c r="BW347">
        <v>2</v>
      </c>
      <c r="BX347">
        <v>2</v>
      </c>
      <c r="BY347">
        <v>0</v>
      </c>
      <c r="BZ347">
        <v>0</v>
      </c>
      <c r="CA347">
        <v>5</v>
      </c>
      <c r="CB347">
        <v>4</v>
      </c>
      <c r="CC347">
        <v>0</v>
      </c>
      <c r="CD347">
        <v>0</v>
      </c>
      <c r="CE347">
        <v>0</v>
      </c>
      <c r="CF347">
        <v>0</v>
      </c>
      <c r="CI347">
        <v>122</v>
      </c>
      <c r="CJ347">
        <v>118</v>
      </c>
      <c r="CK347">
        <v>240</v>
      </c>
      <c r="CL347">
        <v>122</v>
      </c>
      <c r="CM347">
        <v>118</v>
      </c>
      <c r="CN347">
        <v>240</v>
      </c>
    </row>
    <row r="348" spans="1:92" x14ac:dyDescent="0.3">
      <c r="A348" s="20" t="s">
        <v>423</v>
      </c>
      <c r="B348" t="s">
        <v>108</v>
      </c>
      <c r="C348" t="s">
        <v>109</v>
      </c>
      <c r="D348">
        <v>401486</v>
      </c>
      <c r="E348" t="s">
        <v>364</v>
      </c>
      <c r="F348" t="s">
        <v>176</v>
      </c>
      <c r="G348" t="s">
        <v>112</v>
      </c>
      <c r="H348" t="s">
        <v>174</v>
      </c>
      <c r="I348" t="s">
        <v>123</v>
      </c>
      <c r="J348" t="s">
        <v>124</v>
      </c>
      <c r="K348" t="s">
        <v>116</v>
      </c>
      <c r="L348" t="s">
        <v>118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4</v>
      </c>
      <c r="BC348">
        <v>0</v>
      </c>
      <c r="BD348">
        <v>0</v>
      </c>
      <c r="BE348">
        <v>2</v>
      </c>
      <c r="BF348">
        <v>6</v>
      </c>
      <c r="BG348">
        <v>0</v>
      </c>
      <c r="BH348">
        <v>0</v>
      </c>
      <c r="BI348">
        <v>0</v>
      </c>
      <c r="BJ348">
        <v>0</v>
      </c>
      <c r="BQ348">
        <v>3</v>
      </c>
      <c r="BR348">
        <v>5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2</v>
      </c>
      <c r="BY348">
        <v>0</v>
      </c>
      <c r="BZ348">
        <v>0</v>
      </c>
      <c r="CA348">
        <v>7</v>
      </c>
      <c r="CB348">
        <v>12</v>
      </c>
      <c r="CC348">
        <v>0</v>
      </c>
      <c r="CD348">
        <v>0</v>
      </c>
      <c r="CE348">
        <v>0</v>
      </c>
      <c r="CF348">
        <v>0</v>
      </c>
      <c r="CI348">
        <v>12</v>
      </c>
      <c r="CJ348">
        <v>30</v>
      </c>
      <c r="CK348">
        <v>42</v>
      </c>
      <c r="CL348">
        <v>12</v>
      </c>
      <c r="CM348">
        <v>30</v>
      </c>
      <c r="CN348">
        <v>42</v>
      </c>
    </row>
    <row r="349" spans="1:92" x14ac:dyDescent="0.3">
      <c r="A349" s="20" t="s">
        <v>423</v>
      </c>
      <c r="B349" t="s">
        <v>108</v>
      </c>
      <c r="C349" t="s">
        <v>109</v>
      </c>
      <c r="D349">
        <v>401495</v>
      </c>
      <c r="E349" t="s">
        <v>127</v>
      </c>
      <c r="F349" t="s">
        <v>128</v>
      </c>
      <c r="G349" t="s">
        <v>112</v>
      </c>
      <c r="H349" t="s">
        <v>129</v>
      </c>
      <c r="I349" t="s">
        <v>123</v>
      </c>
      <c r="J349" t="s">
        <v>130</v>
      </c>
      <c r="K349" t="s">
        <v>116</v>
      </c>
      <c r="L349" t="s">
        <v>118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20</v>
      </c>
      <c r="BF349">
        <v>11</v>
      </c>
      <c r="BG349">
        <v>0</v>
      </c>
      <c r="BH349">
        <v>0</v>
      </c>
      <c r="BI349">
        <v>0</v>
      </c>
      <c r="BJ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5</v>
      </c>
      <c r="CB349">
        <v>2</v>
      </c>
      <c r="CC349">
        <v>0</v>
      </c>
      <c r="CD349">
        <v>0</v>
      </c>
      <c r="CE349">
        <v>0</v>
      </c>
      <c r="CF349">
        <v>0</v>
      </c>
      <c r="CI349">
        <v>25</v>
      </c>
      <c r="CJ349">
        <v>13</v>
      </c>
      <c r="CK349">
        <v>38</v>
      </c>
      <c r="CL349">
        <v>25</v>
      </c>
      <c r="CM349">
        <v>13</v>
      </c>
      <c r="CN349">
        <v>38</v>
      </c>
    </row>
    <row r="350" spans="1:92" x14ac:dyDescent="0.3">
      <c r="A350" s="20" t="s">
        <v>423</v>
      </c>
      <c r="B350" t="s">
        <v>108</v>
      </c>
      <c r="C350" t="s">
        <v>109</v>
      </c>
      <c r="D350">
        <v>401500</v>
      </c>
      <c r="E350" t="s">
        <v>131</v>
      </c>
      <c r="F350" t="s">
        <v>132</v>
      </c>
      <c r="G350" t="s">
        <v>112</v>
      </c>
      <c r="H350" t="s">
        <v>133</v>
      </c>
      <c r="I350" t="s">
        <v>123</v>
      </c>
      <c r="J350" t="s">
        <v>130</v>
      </c>
      <c r="K350" t="s">
        <v>116</v>
      </c>
      <c r="L350" t="s">
        <v>118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3</v>
      </c>
      <c r="AV350">
        <v>2</v>
      </c>
      <c r="AW350">
        <v>13</v>
      </c>
      <c r="AX350">
        <v>17</v>
      </c>
      <c r="AY350">
        <v>0</v>
      </c>
      <c r="AZ350">
        <v>0</v>
      </c>
      <c r="BA350">
        <v>3</v>
      </c>
      <c r="BB350">
        <v>4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Q350">
        <v>1</v>
      </c>
      <c r="BR350">
        <v>5</v>
      </c>
      <c r="BS350">
        <v>0</v>
      </c>
      <c r="BT350">
        <v>1</v>
      </c>
      <c r="BU350">
        <v>0</v>
      </c>
      <c r="BV350">
        <v>0</v>
      </c>
      <c r="BW350">
        <v>2</v>
      </c>
      <c r="BX350">
        <v>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I350">
        <v>22</v>
      </c>
      <c r="CJ350">
        <v>31</v>
      </c>
      <c r="CK350">
        <v>53</v>
      </c>
      <c r="CL350">
        <v>22</v>
      </c>
      <c r="CM350">
        <v>31</v>
      </c>
      <c r="CN350">
        <v>53</v>
      </c>
    </row>
    <row r="351" spans="1:92" x14ac:dyDescent="0.3">
      <c r="A351" s="20" t="s">
        <v>423</v>
      </c>
      <c r="B351" t="s">
        <v>108</v>
      </c>
      <c r="C351" t="s">
        <v>109</v>
      </c>
      <c r="D351">
        <v>409925</v>
      </c>
      <c r="E351" t="s">
        <v>134</v>
      </c>
      <c r="F351" t="s">
        <v>135</v>
      </c>
      <c r="G351" t="s">
        <v>112</v>
      </c>
      <c r="H351" t="s">
        <v>136</v>
      </c>
      <c r="I351" t="s">
        <v>123</v>
      </c>
      <c r="J351" t="s">
        <v>124</v>
      </c>
      <c r="K351" t="s">
        <v>116</v>
      </c>
      <c r="L351" t="s">
        <v>118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2</v>
      </c>
      <c r="AW351">
        <v>0</v>
      </c>
      <c r="AX351">
        <v>0</v>
      </c>
      <c r="AY351">
        <v>0</v>
      </c>
      <c r="AZ351">
        <v>0</v>
      </c>
      <c r="BA351">
        <v>2</v>
      </c>
      <c r="BB351">
        <v>2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Q351">
        <v>2</v>
      </c>
      <c r="BR351">
        <v>9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I351">
        <v>4</v>
      </c>
      <c r="CJ351">
        <v>14</v>
      </c>
      <c r="CK351">
        <v>18</v>
      </c>
      <c r="CL351">
        <v>4</v>
      </c>
      <c r="CM351">
        <v>14</v>
      </c>
      <c r="CN351">
        <v>18</v>
      </c>
    </row>
    <row r="352" spans="1:92" x14ac:dyDescent="0.3">
      <c r="A352" s="20" t="s">
        <v>423</v>
      </c>
      <c r="B352" t="s">
        <v>108</v>
      </c>
      <c r="C352" t="s">
        <v>109</v>
      </c>
      <c r="D352">
        <v>409926</v>
      </c>
      <c r="E352" t="s">
        <v>134</v>
      </c>
      <c r="F352" t="s">
        <v>137</v>
      </c>
      <c r="G352" t="s">
        <v>112</v>
      </c>
      <c r="H352" t="s">
        <v>138</v>
      </c>
      <c r="I352" t="s">
        <v>123</v>
      </c>
      <c r="J352" t="s">
        <v>124</v>
      </c>
      <c r="K352" t="s">
        <v>116</v>
      </c>
      <c r="L352" t="s">
        <v>118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3</v>
      </c>
      <c r="AZ352">
        <v>5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Q352">
        <v>0</v>
      </c>
      <c r="BR352">
        <v>0</v>
      </c>
      <c r="BS352">
        <v>0</v>
      </c>
      <c r="BT352">
        <v>0</v>
      </c>
      <c r="BU352">
        <v>19</v>
      </c>
      <c r="BV352">
        <v>13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I352">
        <v>22</v>
      </c>
      <c r="CJ352">
        <v>18</v>
      </c>
      <c r="CK352">
        <v>40</v>
      </c>
      <c r="CL352">
        <v>22</v>
      </c>
      <c r="CM352">
        <v>18</v>
      </c>
      <c r="CN352">
        <v>40</v>
      </c>
    </row>
    <row r="353" spans="1:92" x14ac:dyDescent="0.3">
      <c r="A353" s="20" t="s">
        <v>423</v>
      </c>
      <c r="B353" t="s">
        <v>108</v>
      </c>
      <c r="C353" t="s">
        <v>109</v>
      </c>
      <c r="D353">
        <v>410227</v>
      </c>
      <c r="E353" t="s">
        <v>139</v>
      </c>
      <c r="F353" t="s">
        <v>404</v>
      </c>
      <c r="G353" t="s">
        <v>112</v>
      </c>
      <c r="H353" t="s">
        <v>129</v>
      </c>
      <c r="I353" t="s">
        <v>123</v>
      </c>
      <c r="J353" t="s">
        <v>124</v>
      </c>
      <c r="K353" t="s">
        <v>116</v>
      </c>
      <c r="L353" t="s">
        <v>118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Q353">
        <v>0</v>
      </c>
      <c r="BR353">
        <v>2</v>
      </c>
      <c r="BS353">
        <v>0</v>
      </c>
      <c r="BT353">
        <v>1</v>
      </c>
      <c r="BU353">
        <v>2</v>
      </c>
      <c r="BV353">
        <v>4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I353">
        <v>4</v>
      </c>
      <c r="CJ353">
        <v>7</v>
      </c>
      <c r="CK353">
        <v>11</v>
      </c>
      <c r="CL353">
        <v>4</v>
      </c>
      <c r="CM353">
        <v>7</v>
      </c>
      <c r="CN353">
        <v>11</v>
      </c>
    </row>
    <row r="354" spans="1:92" x14ac:dyDescent="0.3">
      <c r="A354" s="20" t="s">
        <v>423</v>
      </c>
      <c r="B354" t="s">
        <v>108</v>
      </c>
      <c r="C354" t="s">
        <v>405</v>
      </c>
      <c r="D354">
        <v>410465</v>
      </c>
      <c r="E354" t="s">
        <v>406</v>
      </c>
      <c r="F354" t="s">
        <v>407</v>
      </c>
      <c r="G354" t="s">
        <v>112</v>
      </c>
      <c r="H354" t="s">
        <v>129</v>
      </c>
      <c r="I354" t="s">
        <v>123</v>
      </c>
      <c r="J354" t="s">
        <v>124</v>
      </c>
      <c r="K354" t="s">
        <v>116</v>
      </c>
      <c r="L354" t="s">
        <v>118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9</v>
      </c>
      <c r="AV354">
        <v>21</v>
      </c>
      <c r="AW354">
        <v>29</v>
      </c>
      <c r="AX354">
        <v>27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Q354">
        <v>5</v>
      </c>
      <c r="BR354">
        <v>13</v>
      </c>
      <c r="BS354">
        <v>1</v>
      </c>
      <c r="BT354">
        <v>7</v>
      </c>
      <c r="BU354">
        <v>0</v>
      </c>
      <c r="BV354">
        <v>0</v>
      </c>
      <c r="BW354">
        <v>4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I354">
        <v>48</v>
      </c>
      <c r="CJ354">
        <v>70</v>
      </c>
      <c r="CK354">
        <v>118</v>
      </c>
      <c r="CL354">
        <v>48</v>
      </c>
      <c r="CM354">
        <v>70</v>
      </c>
      <c r="CN354">
        <v>118</v>
      </c>
    </row>
    <row r="355" spans="1:92" x14ac:dyDescent="0.3">
      <c r="A355" s="20" t="s">
        <v>423</v>
      </c>
      <c r="B355" t="s">
        <v>108</v>
      </c>
      <c r="C355" t="s">
        <v>141</v>
      </c>
      <c r="D355">
        <v>410825</v>
      </c>
      <c r="E355" t="s">
        <v>424</v>
      </c>
      <c r="F355" t="s">
        <v>425</v>
      </c>
      <c r="G355" t="s">
        <v>112</v>
      </c>
      <c r="H355" t="s">
        <v>261</v>
      </c>
      <c r="I355" t="s">
        <v>123</v>
      </c>
      <c r="J355" t="s">
        <v>124</v>
      </c>
      <c r="K355" t="s">
        <v>116</v>
      </c>
      <c r="L355" t="s">
        <v>118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2</v>
      </c>
      <c r="BG355">
        <v>0</v>
      </c>
      <c r="BH355">
        <v>0</v>
      </c>
      <c r="BI355">
        <v>0</v>
      </c>
      <c r="BJ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I355">
        <v>1</v>
      </c>
      <c r="CJ355">
        <v>2</v>
      </c>
      <c r="CK355">
        <v>3</v>
      </c>
      <c r="CL355">
        <v>1</v>
      </c>
      <c r="CM355">
        <v>2</v>
      </c>
      <c r="CN355">
        <v>3</v>
      </c>
    </row>
    <row r="356" spans="1:92" x14ac:dyDescent="0.3">
      <c r="A356" s="20" t="s">
        <v>423</v>
      </c>
      <c r="B356" t="s">
        <v>108</v>
      </c>
      <c r="C356" t="s">
        <v>426</v>
      </c>
      <c r="D356">
        <v>406458</v>
      </c>
      <c r="E356" t="s">
        <v>427</v>
      </c>
      <c r="F356" t="s">
        <v>428</v>
      </c>
      <c r="G356" t="s">
        <v>112</v>
      </c>
      <c r="H356" t="s">
        <v>147</v>
      </c>
      <c r="I356" t="s">
        <v>123</v>
      </c>
      <c r="J356" t="s">
        <v>124</v>
      </c>
      <c r="K356" t="s">
        <v>116</v>
      </c>
      <c r="L356" t="s">
        <v>118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</row>
    <row r="357" spans="1:92" x14ac:dyDescent="0.3">
      <c r="A357" s="20" t="s">
        <v>423</v>
      </c>
      <c r="B357" t="s">
        <v>108</v>
      </c>
      <c r="C357" t="s">
        <v>144</v>
      </c>
      <c r="D357">
        <v>305341</v>
      </c>
      <c r="E357" t="s">
        <v>145</v>
      </c>
      <c r="F357" t="s">
        <v>429</v>
      </c>
      <c r="G357" t="s">
        <v>112</v>
      </c>
      <c r="H357" t="s">
        <v>147</v>
      </c>
      <c r="I357" t="s">
        <v>114</v>
      </c>
      <c r="J357" t="s">
        <v>115</v>
      </c>
      <c r="K357" t="s">
        <v>116</v>
      </c>
      <c r="L357" t="s">
        <v>118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5</v>
      </c>
      <c r="AL357">
        <v>2</v>
      </c>
      <c r="AM357">
        <v>3</v>
      </c>
      <c r="AN357">
        <v>12</v>
      </c>
      <c r="AO357">
        <v>6</v>
      </c>
      <c r="AP357">
        <v>0</v>
      </c>
      <c r="AQ357">
        <v>0</v>
      </c>
      <c r="AR357">
        <v>17</v>
      </c>
      <c r="AS357">
        <v>14</v>
      </c>
      <c r="AT357">
        <v>31</v>
      </c>
      <c r="AU357">
        <v>1</v>
      </c>
      <c r="AV357">
        <v>0</v>
      </c>
      <c r="AW357">
        <v>1</v>
      </c>
      <c r="AX357">
        <v>2</v>
      </c>
      <c r="AY357">
        <v>1</v>
      </c>
      <c r="AZ357">
        <v>2</v>
      </c>
      <c r="BA357">
        <v>0</v>
      </c>
      <c r="BB357">
        <v>0</v>
      </c>
      <c r="BC357">
        <v>0</v>
      </c>
      <c r="BD357">
        <v>0</v>
      </c>
      <c r="BE357">
        <v>4</v>
      </c>
      <c r="BF357">
        <v>2</v>
      </c>
      <c r="BG357">
        <v>0</v>
      </c>
      <c r="BH357">
        <v>0</v>
      </c>
      <c r="BI357">
        <v>0</v>
      </c>
      <c r="BJ357">
        <v>0</v>
      </c>
      <c r="BQ357">
        <v>0</v>
      </c>
      <c r="BR357">
        <v>0</v>
      </c>
      <c r="BS357">
        <v>1</v>
      </c>
      <c r="BT357">
        <v>5</v>
      </c>
      <c r="BU357">
        <v>0</v>
      </c>
      <c r="BV357">
        <v>4</v>
      </c>
      <c r="BW357">
        <v>0</v>
      </c>
      <c r="BX357">
        <v>0</v>
      </c>
      <c r="BY357">
        <v>0</v>
      </c>
      <c r="BZ357">
        <v>0</v>
      </c>
      <c r="CA357">
        <v>4</v>
      </c>
      <c r="CB357">
        <v>0</v>
      </c>
      <c r="CC357">
        <v>0</v>
      </c>
      <c r="CD357">
        <v>0</v>
      </c>
      <c r="CE357">
        <v>0</v>
      </c>
      <c r="CF357">
        <v>0</v>
      </c>
      <c r="CI357">
        <v>12</v>
      </c>
      <c r="CJ357">
        <v>15</v>
      </c>
      <c r="CK357">
        <v>27</v>
      </c>
      <c r="CL357">
        <v>29</v>
      </c>
      <c r="CM357">
        <v>29</v>
      </c>
      <c r="CN357">
        <v>58</v>
      </c>
    </row>
    <row r="358" spans="1:92" x14ac:dyDescent="0.3">
      <c r="A358" s="20" t="s">
        <v>423</v>
      </c>
      <c r="B358" t="s">
        <v>108</v>
      </c>
      <c r="C358" t="s">
        <v>144</v>
      </c>
      <c r="D358">
        <v>406446</v>
      </c>
      <c r="E358" t="s">
        <v>148</v>
      </c>
      <c r="F358" t="s">
        <v>149</v>
      </c>
      <c r="G358" t="s">
        <v>112</v>
      </c>
      <c r="H358" t="s">
        <v>147</v>
      </c>
      <c r="I358" t="s">
        <v>123</v>
      </c>
      <c r="J358" t="s">
        <v>124</v>
      </c>
      <c r="K358" t="s">
        <v>116</v>
      </c>
      <c r="L358" t="s">
        <v>118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Q358">
        <v>1</v>
      </c>
      <c r="BR358">
        <v>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I358">
        <v>1</v>
      </c>
      <c r="CJ358">
        <v>2</v>
      </c>
      <c r="CK358">
        <v>3</v>
      </c>
      <c r="CL358">
        <v>1</v>
      </c>
      <c r="CM358">
        <v>2</v>
      </c>
      <c r="CN358">
        <v>3</v>
      </c>
    </row>
    <row r="359" spans="1:92" x14ac:dyDescent="0.3">
      <c r="A359" s="20" t="s">
        <v>423</v>
      </c>
      <c r="B359" t="s">
        <v>108</v>
      </c>
      <c r="C359" t="s">
        <v>144</v>
      </c>
      <c r="D359">
        <v>406451</v>
      </c>
      <c r="E359" t="s">
        <v>430</v>
      </c>
      <c r="F359" t="s">
        <v>431</v>
      </c>
      <c r="G359" t="s">
        <v>112</v>
      </c>
      <c r="H359" t="s">
        <v>147</v>
      </c>
      <c r="I359" t="s">
        <v>123</v>
      </c>
      <c r="J359" t="s">
        <v>124</v>
      </c>
      <c r="K359" t="s">
        <v>116</v>
      </c>
      <c r="L359" t="s">
        <v>118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</row>
    <row r="360" spans="1:92" x14ac:dyDescent="0.3">
      <c r="A360" s="20" t="s">
        <v>423</v>
      </c>
      <c r="B360" t="s">
        <v>108</v>
      </c>
      <c r="C360" t="s">
        <v>144</v>
      </c>
      <c r="D360">
        <v>407772</v>
      </c>
      <c r="E360" t="s">
        <v>154</v>
      </c>
      <c r="F360" t="s">
        <v>155</v>
      </c>
      <c r="G360" t="s">
        <v>112</v>
      </c>
      <c r="H360" t="s">
        <v>147</v>
      </c>
      <c r="I360" t="s">
        <v>123</v>
      </c>
      <c r="J360" t="s">
        <v>124</v>
      </c>
      <c r="K360" t="s">
        <v>116</v>
      </c>
      <c r="L360" t="s">
        <v>118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</row>
    <row r="361" spans="1:92" x14ac:dyDescent="0.3">
      <c r="A361" s="20" t="s">
        <v>423</v>
      </c>
      <c r="B361" t="s">
        <v>108</v>
      </c>
      <c r="C361" t="s">
        <v>144</v>
      </c>
      <c r="D361">
        <v>482569</v>
      </c>
      <c r="E361" t="s">
        <v>432</v>
      </c>
      <c r="F361" t="s">
        <v>433</v>
      </c>
      <c r="G361" t="s">
        <v>112</v>
      </c>
      <c r="H361" t="s">
        <v>138</v>
      </c>
      <c r="I361" t="s">
        <v>123</v>
      </c>
      <c r="J361" t="s">
        <v>124</v>
      </c>
      <c r="K361" t="s">
        <v>116</v>
      </c>
      <c r="L361" t="s">
        <v>118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</row>
    <row r="362" spans="1:92" x14ac:dyDescent="0.3">
      <c r="A362" s="20" t="s">
        <v>423</v>
      </c>
      <c r="B362" t="s">
        <v>108</v>
      </c>
      <c r="C362" t="s">
        <v>144</v>
      </c>
      <c r="D362">
        <v>482792</v>
      </c>
      <c r="E362" t="s">
        <v>164</v>
      </c>
      <c r="F362" t="s">
        <v>165</v>
      </c>
      <c r="G362" t="s">
        <v>112</v>
      </c>
      <c r="H362" t="s">
        <v>147</v>
      </c>
      <c r="I362" t="s">
        <v>123</v>
      </c>
      <c r="J362" t="s">
        <v>124</v>
      </c>
      <c r="K362" t="s">
        <v>116</v>
      </c>
      <c r="L362" t="s">
        <v>118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</row>
    <row r="363" spans="1:92" x14ac:dyDescent="0.3">
      <c r="A363" s="20" t="s">
        <v>423</v>
      </c>
      <c r="B363" t="s">
        <v>108</v>
      </c>
      <c r="C363" t="s">
        <v>166</v>
      </c>
      <c r="D363">
        <v>305340</v>
      </c>
      <c r="E363" t="s">
        <v>167</v>
      </c>
      <c r="F363" t="s">
        <v>168</v>
      </c>
      <c r="G363" t="s">
        <v>112</v>
      </c>
      <c r="H363" t="s">
        <v>169</v>
      </c>
      <c r="I363" t="s">
        <v>114</v>
      </c>
      <c r="J363" t="s">
        <v>115</v>
      </c>
      <c r="K363" t="s">
        <v>116</v>
      </c>
      <c r="L363" t="s">
        <v>118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43</v>
      </c>
      <c r="AI363">
        <v>41</v>
      </c>
      <c r="AJ363">
        <v>0</v>
      </c>
      <c r="AK363">
        <v>2</v>
      </c>
      <c r="AL363">
        <v>23</v>
      </c>
      <c r="AM363">
        <v>19</v>
      </c>
      <c r="AN363">
        <v>27</v>
      </c>
      <c r="AO363">
        <v>40</v>
      </c>
      <c r="AP363">
        <v>0</v>
      </c>
      <c r="AQ363">
        <v>0</v>
      </c>
      <c r="AR363">
        <v>93</v>
      </c>
      <c r="AS363">
        <v>102</v>
      </c>
      <c r="AT363">
        <v>195</v>
      </c>
      <c r="AU363">
        <v>8</v>
      </c>
      <c r="AV363">
        <v>6</v>
      </c>
      <c r="AW363">
        <v>5</v>
      </c>
      <c r="AX363">
        <v>13</v>
      </c>
      <c r="AY363">
        <v>3</v>
      </c>
      <c r="AZ363">
        <v>5</v>
      </c>
      <c r="BA363">
        <v>0</v>
      </c>
      <c r="BB363">
        <v>0</v>
      </c>
      <c r="BC363">
        <v>0</v>
      </c>
      <c r="BD363">
        <v>0</v>
      </c>
      <c r="BE363">
        <v>8</v>
      </c>
      <c r="BF363">
        <v>9</v>
      </c>
      <c r="BG363">
        <v>0</v>
      </c>
      <c r="BH363">
        <v>0</v>
      </c>
      <c r="BI363">
        <v>0</v>
      </c>
      <c r="BJ363">
        <v>0</v>
      </c>
      <c r="BQ363">
        <v>5</v>
      </c>
      <c r="BR363">
        <v>13</v>
      </c>
      <c r="BS363">
        <v>5</v>
      </c>
      <c r="BT363">
        <v>8</v>
      </c>
      <c r="BU363">
        <v>3</v>
      </c>
      <c r="BV363">
        <v>12</v>
      </c>
      <c r="BW363">
        <v>0</v>
      </c>
      <c r="BX363">
        <v>0</v>
      </c>
      <c r="BY363">
        <v>0</v>
      </c>
      <c r="BZ363">
        <v>0</v>
      </c>
      <c r="CA363">
        <v>5</v>
      </c>
      <c r="CB363">
        <v>7</v>
      </c>
      <c r="CC363">
        <v>0</v>
      </c>
      <c r="CD363">
        <v>0</v>
      </c>
      <c r="CE363">
        <v>0</v>
      </c>
      <c r="CF363">
        <v>0</v>
      </c>
      <c r="CI363">
        <v>42</v>
      </c>
      <c r="CJ363">
        <v>73</v>
      </c>
      <c r="CK363">
        <v>115</v>
      </c>
      <c r="CL363">
        <v>135</v>
      </c>
      <c r="CM363">
        <v>175</v>
      </c>
      <c r="CN363">
        <v>310</v>
      </c>
    </row>
    <row r="364" spans="1:92" x14ac:dyDescent="0.3">
      <c r="A364" s="20" t="s">
        <v>423</v>
      </c>
      <c r="B364" t="s">
        <v>108</v>
      </c>
      <c r="C364" t="s">
        <v>166</v>
      </c>
      <c r="D364">
        <v>305342</v>
      </c>
      <c r="E364" t="s">
        <v>170</v>
      </c>
      <c r="F364" t="s">
        <v>171</v>
      </c>
      <c r="G364" t="s">
        <v>112</v>
      </c>
      <c r="H364" t="s">
        <v>113</v>
      </c>
      <c r="I364" t="s">
        <v>114</v>
      </c>
      <c r="J364" t="s">
        <v>115</v>
      </c>
      <c r="K364" t="s">
        <v>116</v>
      </c>
      <c r="L364" t="s">
        <v>118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15</v>
      </c>
      <c r="AI364">
        <v>15</v>
      </c>
      <c r="AJ364">
        <v>23</v>
      </c>
      <c r="AK364">
        <v>27</v>
      </c>
      <c r="AL364">
        <v>44</v>
      </c>
      <c r="AM364">
        <v>49</v>
      </c>
      <c r="AN364">
        <v>35</v>
      </c>
      <c r="AO364">
        <v>29</v>
      </c>
      <c r="AP364">
        <v>0</v>
      </c>
      <c r="AQ364">
        <v>0</v>
      </c>
      <c r="AR364">
        <v>117</v>
      </c>
      <c r="AS364">
        <v>120</v>
      </c>
      <c r="AT364">
        <v>237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I364">
        <v>0</v>
      </c>
      <c r="CJ364">
        <v>0</v>
      </c>
      <c r="CK364">
        <v>0</v>
      </c>
      <c r="CL364">
        <v>117</v>
      </c>
      <c r="CM364">
        <v>120</v>
      </c>
      <c r="CN364">
        <v>237</v>
      </c>
    </row>
    <row r="365" spans="1:92" x14ac:dyDescent="0.3">
      <c r="A365" s="20" t="s">
        <v>423</v>
      </c>
      <c r="B365" t="s">
        <v>108</v>
      </c>
      <c r="C365" t="s">
        <v>166</v>
      </c>
      <c r="D365">
        <v>319504</v>
      </c>
      <c r="E365" t="s">
        <v>172</v>
      </c>
      <c r="F365" t="s">
        <v>173</v>
      </c>
      <c r="G365" t="s">
        <v>112</v>
      </c>
      <c r="H365" t="s">
        <v>174</v>
      </c>
      <c r="I365" t="s">
        <v>114</v>
      </c>
      <c r="J365" t="s">
        <v>115</v>
      </c>
      <c r="K365" t="s">
        <v>116</v>
      </c>
      <c r="L365" t="s">
        <v>118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40</v>
      </c>
      <c r="AI365">
        <v>34</v>
      </c>
      <c r="AJ365">
        <v>29</v>
      </c>
      <c r="AK365">
        <v>32</v>
      </c>
      <c r="AL365">
        <v>29</v>
      </c>
      <c r="AM365">
        <v>27</v>
      </c>
      <c r="AN365">
        <v>67</v>
      </c>
      <c r="AO365">
        <v>85</v>
      </c>
      <c r="AP365">
        <v>0</v>
      </c>
      <c r="AQ365">
        <v>0</v>
      </c>
      <c r="AR365">
        <v>165</v>
      </c>
      <c r="AS365">
        <v>178</v>
      </c>
      <c r="AT365">
        <v>343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I365">
        <v>0</v>
      </c>
      <c r="CJ365">
        <v>0</v>
      </c>
      <c r="CK365">
        <v>0</v>
      </c>
      <c r="CL365">
        <v>165</v>
      </c>
      <c r="CM365">
        <v>178</v>
      </c>
      <c r="CN365">
        <v>343</v>
      </c>
    </row>
    <row r="366" spans="1:92" x14ac:dyDescent="0.3">
      <c r="A366" s="20" t="s">
        <v>423</v>
      </c>
      <c r="B366" t="s">
        <v>108</v>
      </c>
      <c r="C366" t="s">
        <v>166</v>
      </c>
      <c r="D366">
        <v>406462</v>
      </c>
      <c r="E366" t="s">
        <v>434</v>
      </c>
      <c r="F366" t="s">
        <v>435</v>
      </c>
      <c r="G366" t="s">
        <v>112</v>
      </c>
      <c r="H366" t="s">
        <v>174</v>
      </c>
      <c r="I366" t="s">
        <v>123</v>
      </c>
      <c r="J366" t="s">
        <v>124</v>
      </c>
      <c r="K366" t="s">
        <v>116</v>
      </c>
      <c r="L366" t="s">
        <v>118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I366">
        <v>0</v>
      </c>
      <c r="CJ366">
        <v>2</v>
      </c>
      <c r="CK366">
        <v>2</v>
      </c>
      <c r="CL366">
        <v>0</v>
      </c>
      <c r="CM366">
        <v>2</v>
      </c>
      <c r="CN366">
        <v>2</v>
      </c>
    </row>
    <row r="367" spans="1:92" x14ac:dyDescent="0.3">
      <c r="A367" s="20" t="s">
        <v>423</v>
      </c>
      <c r="B367" t="s">
        <v>108</v>
      </c>
      <c r="C367" t="s">
        <v>166</v>
      </c>
      <c r="D367">
        <v>406463</v>
      </c>
      <c r="E367" t="s">
        <v>436</v>
      </c>
      <c r="F367" t="s">
        <v>437</v>
      </c>
      <c r="G367" t="s">
        <v>112</v>
      </c>
      <c r="H367" t="s">
        <v>133</v>
      </c>
      <c r="I367" t="s">
        <v>123</v>
      </c>
      <c r="J367" t="s">
        <v>124</v>
      </c>
      <c r="K367" t="s">
        <v>243</v>
      </c>
      <c r="L367" t="s">
        <v>118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2</v>
      </c>
      <c r="AX367">
        <v>0</v>
      </c>
      <c r="AY367">
        <v>3</v>
      </c>
      <c r="AZ367">
        <v>2</v>
      </c>
      <c r="BA367">
        <v>4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I367">
        <v>10</v>
      </c>
      <c r="CJ367">
        <v>3</v>
      </c>
      <c r="CK367">
        <v>13</v>
      </c>
      <c r="CL367">
        <v>10</v>
      </c>
      <c r="CM367">
        <v>3</v>
      </c>
      <c r="CN367">
        <v>13</v>
      </c>
    </row>
    <row r="368" spans="1:92" x14ac:dyDescent="0.3">
      <c r="A368" s="20" t="s">
        <v>423</v>
      </c>
      <c r="B368" t="s">
        <v>108</v>
      </c>
      <c r="C368" t="s">
        <v>166</v>
      </c>
      <c r="D368">
        <v>406472</v>
      </c>
      <c r="E368" t="s">
        <v>175</v>
      </c>
      <c r="F368" t="s">
        <v>176</v>
      </c>
      <c r="G368" t="s">
        <v>112</v>
      </c>
      <c r="H368" t="s">
        <v>174</v>
      </c>
      <c r="I368" t="s">
        <v>123</v>
      </c>
      <c r="J368" t="s">
        <v>124</v>
      </c>
      <c r="K368" t="s">
        <v>116</v>
      </c>
      <c r="L368" t="s">
        <v>118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</row>
    <row r="369" spans="1:92" x14ac:dyDescent="0.3">
      <c r="A369" s="20" t="s">
        <v>423</v>
      </c>
      <c r="B369" t="s">
        <v>108</v>
      </c>
      <c r="C369" t="s">
        <v>166</v>
      </c>
      <c r="D369">
        <v>482540</v>
      </c>
      <c r="E369" t="s">
        <v>177</v>
      </c>
      <c r="F369" t="s">
        <v>178</v>
      </c>
      <c r="G369" t="s">
        <v>112</v>
      </c>
      <c r="H369" t="s">
        <v>133</v>
      </c>
      <c r="I369" t="s">
        <v>123</v>
      </c>
      <c r="J369" t="s">
        <v>124</v>
      </c>
      <c r="K369" t="s">
        <v>116</v>
      </c>
      <c r="L369" t="s">
        <v>118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</row>
    <row r="370" spans="1:92" x14ac:dyDescent="0.3">
      <c r="A370" s="20" t="s">
        <v>423</v>
      </c>
      <c r="B370" t="s">
        <v>108</v>
      </c>
      <c r="C370" t="s">
        <v>166</v>
      </c>
      <c r="D370">
        <v>482606</v>
      </c>
      <c r="E370" t="s">
        <v>438</v>
      </c>
      <c r="F370" t="s">
        <v>439</v>
      </c>
      <c r="G370" t="s">
        <v>112</v>
      </c>
      <c r="H370" t="s">
        <v>261</v>
      </c>
      <c r="I370" t="s">
        <v>123</v>
      </c>
      <c r="J370" t="s">
        <v>124</v>
      </c>
      <c r="K370" t="s">
        <v>116</v>
      </c>
      <c r="L370" t="s">
        <v>118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</row>
    <row r="371" spans="1:92" x14ac:dyDescent="0.3">
      <c r="A371" s="20" t="s">
        <v>423</v>
      </c>
      <c r="B371" t="s">
        <v>108</v>
      </c>
      <c r="C371" t="s">
        <v>166</v>
      </c>
      <c r="D371">
        <v>482607</v>
      </c>
      <c r="E371" t="s">
        <v>179</v>
      </c>
      <c r="F371" t="s">
        <v>180</v>
      </c>
      <c r="G371" t="s">
        <v>112</v>
      </c>
      <c r="H371" t="s">
        <v>174</v>
      </c>
      <c r="I371" t="s">
        <v>123</v>
      </c>
      <c r="J371" t="s">
        <v>124</v>
      </c>
      <c r="K371" t="s">
        <v>116</v>
      </c>
      <c r="L371" t="s">
        <v>118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</row>
    <row r="372" spans="1:92" x14ac:dyDescent="0.3">
      <c r="A372" s="20" t="s">
        <v>423</v>
      </c>
      <c r="B372" t="s">
        <v>108</v>
      </c>
      <c r="C372" t="s">
        <v>166</v>
      </c>
      <c r="D372">
        <v>482771</v>
      </c>
      <c r="E372" t="s">
        <v>440</v>
      </c>
      <c r="F372" t="s">
        <v>441</v>
      </c>
      <c r="G372" t="s">
        <v>112</v>
      </c>
      <c r="H372" t="s">
        <v>133</v>
      </c>
      <c r="I372" t="s">
        <v>123</v>
      </c>
      <c r="J372" t="s">
        <v>124</v>
      </c>
      <c r="K372" t="s">
        <v>116</v>
      </c>
      <c r="L372" t="s">
        <v>118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</row>
    <row r="373" spans="1:92" x14ac:dyDescent="0.3">
      <c r="A373" s="20" t="s">
        <v>423</v>
      </c>
      <c r="B373" t="s">
        <v>108</v>
      </c>
      <c r="C373" t="s">
        <v>181</v>
      </c>
      <c r="D373">
        <v>305336</v>
      </c>
      <c r="E373" t="s">
        <v>182</v>
      </c>
      <c r="F373" t="s">
        <v>183</v>
      </c>
      <c r="G373" t="s">
        <v>112</v>
      </c>
      <c r="H373" t="s">
        <v>129</v>
      </c>
      <c r="I373" t="s">
        <v>114</v>
      </c>
      <c r="J373" t="s">
        <v>115</v>
      </c>
      <c r="K373" t="s">
        <v>116</v>
      </c>
      <c r="L373" t="s">
        <v>118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4</v>
      </c>
      <c r="AK373">
        <v>1</v>
      </c>
      <c r="AL373">
        <v>2</v>
      </c>
      <c r="AM373">
        <v>2</v>
      </c>
      <c r="AN373">
        <v>1</v>
      </c>
      <c r="AO373">
        <v>2</v>
      </c>
      <c r="AP373">
        <v>0</v>
      </c>
      <c r="AQ373">
        <v>0</v>
      </c>
      <c r="AR373">
        <v>7</v>
      </c>
      <c r="AS373">
        <v>5</v>
      </c>
      <c r="AT373">
        <v>12</v>
      </c>
      <c r="AU373">
        <v>8</v>
      </c>
      <c r="AV373">
        <v>12</v>
      </c>
      <c r="AW373">
        <v>10</v>
      </c>
      <c r="AX373">
        <v>14</v>
      </c>
      <c r="AY373">
        <v>4</v>
      </c>
      <c r="AZ373">
        <v>4</v>
      </c>
      <c r="BA373">
        <v>0</v>
      </c>
      <c r="BB373">
        <v>0</v>
      </c>
      <c r="BC373">
        <v>0</v>
      </c>
      <c r="BD373">
        <v>0</v>
      </c>
      <c r="BE373">
        <v>11</v>
      </c>
      <c r="BF373">
        <v>4</v>
      </c>
      <c r="BG373">
        <v>0</v>
      </c>
      <c r="BH373">
        <v>0</v>
      </c>
      <c r="BI373">
        <v>0</v>
      </c>
      <c r="BJ373">
        <v>0</v>
      </c>
      <c r="BQ373">
        <v>3</v>
      </c>
      <c r="BR373">
        <v>13</v>
      </c>
      <c r="BS373">
        <v>7</v>
      </c>
      <c r="BT373">
        <v>8</v>
      </c>
      <c r="BU373">
        <v>2</v>
      </c>
      <c r="BV373">
        <v>4</v>
      </c>
      <c r="BW373">
        <v>0</v>
      </c>
      <c r="BX373">
        <v>0</v>
      </c>
      <c r="BY373">
        <v>0</v>
      </c>
      <c r="BZ373">
        <v>0</v>
      </c>
      <c r="CA373">
        <v>11</v>
      </c>
      <c r="CB373">
        <v>4</v>
      </c>
      <c r="CC373">
        <v>0</v>
      </c>
      <c r="CD373">
        <v>0</v>
      </c>
      <c r="CE373">
        <v>0</v>
      </c>
      <c r="CF373">
        <v>0</v>
      </c>
      <c r="CI373">
        <v>56</v>
      </c>
      <c r="CJ373">
        <v>63</v>
      </c>
      <c r="CK373">
        <v>119</v>
      </c>
      <c r="CL373">
        <v>63</v>
      </c>
      <c r="CM373">
        <v>68</v>
      </c>
      <c r="CN373">
        <v>131</v>
      </c>
    </row>
    <row r="374" spans="1:92" x14ac:dyDescent="0.3">
      <c r="A374" s="20" t="s">
        <v>423</v>
      </c>
      <c r="B374" t="s">
        <v>108</v>
      </c>
      <c r="C374" t="s">
        <v>181</v>
      </c>
      <c r="D374">
        <v>305338</v>
      </c>
      <c r="E374" t="s">
        <v>184</v>
      </c>
      <c r="F374" t="s">
        <v>185</v>
      </c>
      <c r="G374" t="s">
        <v>112</v>
      </c>
      <c r="H374" t="s">
        <v>186</v>
      </c>
      <c r="I374" t="s">
        <v>114</v>
      </c>
      <c r="J374" t="s">
        <v>115</v>
      </c>
      <c r="K374" t="s">
        <v>116</v>
      </c>
      <c r="L374" t="s">
        <v>118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7</v>
      </c>
      <c r="AI374">
        <v>5</v>
      </c>
      <c r="AJ374">
        <v>9</v>
      </c>
      <c r="AK374">
        <v>5</v>
      </c>
      <c r="AL374">
        <v>2</v>
      </c>
      <c r="AM374">
        <v>1</v>
      </c>
      <c r="AN374">
        <v>7</v>
      </c>
      <c r="AO374">
        <v>7</v>
      </c>
      <c r="AP374">
        <v>0</v>
      </c>
      <c r="AQ374">
        <v>0</v>
      </c>
      <c r="AR374">
        <v>25</v>
      </c>
      <c r="AS374">
        <v>18</v>
      </c>
      <c r="AT374">
        <v>43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I374">
        <v>0</v>
      </c>
      <c r="CJ374">
        <v>0</v>
      </c>
      <c r="CK374">
        <v>0</v>
      </c>
      <c r="CL374">
        <v>25</v>
      </c>
      <c r="CM374">
        <v>18</v>
      </c>
      <c r="CN374">
        <v>43</v>
      </c>
    </row>
    <row r="375" spans="1:92" x14ac:dyDescent="0.3">
      <c r="A375" s="20" t="s">
        <v>423</v>
      </c>
      <c r="B375" t="s">
        <v>108</v>
      </c>
      <c r="C375" t="s">
        <v>181</v>
      </c>
      <c r="D375">
        <v>305339</v>
      </c>
      <c r="E375" t="s">
        <v>189</v>
      </c>
      <c r="F375" t="s">
        <v>190</v>
      </c>
      <c r="G375" t="s">
        <v>112</v>
      </c>
      <c r="H375" t="s">
        <v>191</v>
      </c>
      <c r="I375" t="s">
        <v>114</v>
      </c>
      <c r="J375" t="s">
        <v>115</v>
      </c>
      <c r="K375" t="s">
        <v>116</v>
      </c>
      <c r="L375" t="s">
        <v>118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6</v>
      </c>
      <c r="AI375">
        <v>7</v>
      </c>
      <c r="AJ375">
        <v>5</v>
      </c>
      <c r="AK375">
        <v>9</v>
      </c>
      <c r="AL375">
        <v>8</v>
      </c>
      <c r="AM375">
        <v>8</v>
      </c>
      <c r="AN375">
        <v>25</v>
      </c>
      <c r="AO375">
        <v>29</v>
      </c>
      <c r="AP375">
        <v>0</v>
      </c>
      <c r="AQ375">
        <v>0</v>
      </c>
      <c r="AR375">
        <v>44</v>
      </c>
      <c r="AS375">
        <v>53</v>
      </c>
      <c r="AT375">
        <v>97</v>
      </c>
      <c r="AU375">
        <v>1</v>
      </c>
      <c r="AV375">
        <v>6</v>
      </c>
      <c r="AW375">
        <v>3</v>
      </c>
      <c r="AX375">
        <v>7</v>
      </c>
      <c r="AY375">
        <v>8</v>
      </c>
      <c r="AZ375">
        <v>5</v>
      </c>
      <c r="BA375">
        <v>6</v>
      </c>
      <c r="BB375">
        <v>2</v>
      </c>
      <c r="BC375">
        <v>0</v>
      </c>
      <c r="BD375">
        <v>0</v>
      </c>
      <c r="BE375">
        <v>14</v>
      </c>
      <c r="BF375">
        <v>12</v>
      </c>
      <c r="BG375">
        <v>0</v>
      </c>
      <c r="BH375">
        <v>0</v>
      </c>
      <c r="BI375">
        <v>0</v>
      </c>
      <c r="BJ375">
        <v>0</v>
      </c>
      <c r="BQ375">
        <v>0</v>
      </c>
      <c r="BR375">
        <v>0</v>
      </c>
      <c r="BS375">
        <v>8</v>
      </c>
      <c r="BT375">
        <v>6</v>
      </c>
      <c r="BU375">
        <v>0</v>
      </c>
      <c r="BV375">
        <v>0</v>
      </c>
      <c r="BW375">
        <v>6</v>
      </c>
      <c r="BX375">
        <v>4</v>
      </c>
      <c r="BY375">
        <v>0</v>
      </c>
      <c r="BZ375">
        <v>0</v>
      </c>
      <c r="CA375">
        <v>9</v>
      </c>
      <c r="CB375">
        <v>6</v>
      </c>
      <c r="CC375">
        <v>0</v>
      </c>
      <c r="CD375">
        <v>0</v>
      </c>
      <c r="CE375">
        <v>0</v>
      </c>
      <c r="CF375">
        <v>0</v>
      </c>
      <c r="CI375">
        <v>55</v>
      </c>
      <c r="CJ375">
        <v>48</v>
      </c>
      <c r="CK375">
        <v>103</v>
      </c>
      <c r="CL375">
        <v>99</v>
      </c>
      <c r="CM375">
        <v>101</v>
      </c>
      <c r="CN375">
        <v>200</v>
      </c>
    </row>
    <row r="376" spans="1:92" x14ac:dyDescent="0.3">
      <c r="A376" s="20" t="s">
        <v>423</v>
      </c>
      <c r="B376" t="s">
        <v>108</v>
      </c>
      <c r="C376" t="s">
        <v>181</v>
      </c>
      <c r="D376">
        <v>401447</v>
      </c>
      <c r="E376" t="s">
        <v>192</v>
      </c>
      <c r="F376" t="s">
        <v>193</v>
      </c>
      <c r="G376" t="s">
        <v>112</v>
      </c>
      <c r="H376" t="s">
        <v>191</v>
      </c>
      <c r="I376" t="s">
        <v>123</v>
      </c>
      <c r="J376" t="s">
        <v>124</v>
      </c>
      <c r="K376" t="s">
        <v>116</v>
      </c>
      <c r="L376" t="s">
        <v>118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</v>
      </c>
      <c r="BF376">
        <v>1</v>
      </c>
      <c r="BG376">
        <v>0</v>
      </c>
      <c r="BH376">
        <v>0</v>
      </c>
      <c r="BI376">
        <v>0</v>
      </c>
      <c r="BJ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I376">
        <v>4</v>
      </c>
      <c r="CJ376">
        <v>1</v>
      </c>
      <c r="CK376">
        <v>5</v>
      </c>
      <c r="CL376">
        <v>4</v>
      </c>
      <c r="CM376">
        <v>1</v>
      </c>
      <c r="CN376">
        <v>5</v>
      </c>
    </row>
    <row r="377" spans="1:92" x14ac:dyDescent="0.3">
      <c r="A377" s="20" t="s">
        <v>423</v>
      </c>
      <c r="B377" t="s">
        <v>108</v>
      </c>
      <c r="C377" t="s">
        <v>181</v>
      </c>
      <c r="D377">
        <v>406460</v>
      </c>
      <c r="E377" t="s">
        <v>442</v>
      </c>
      <c r="F377" t="s">
        <v>443</v>
      </c>
      <c r="G377" t="s">
        <v>112</v>
      </c>
      <c r="H377" t="s">
        <v>169</v>
      </c>
      <c r="I377" t="s">
        <v>123</v>
      </c>
      <c r="J377" t="s">
        <v>124</v>
      </c>
      <c r="K377" t="s">
        <v>116</v>
      </c>
      <c r="L377" t="s">
        <v>118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</row>
    <row r="378" spans="1:92" x14ac:dyDescent="0.3">
      <c r="A378" s="20" t="s">
        <v>423</v>
      </c>
      <c r="B378" t="s">
        <v>108</v>
      </c>
      <c r="C378" t="s">
        <v>181</v>
      </c>
      <c r="D378">
        <v>406474</v>
      </c>
      <c r="E378" t="s">
        <v>194</v>
      </c>
      <c r="F378" t="s">
        <v>195</v>
      </c>
      <c r="G378" t="s">
        <v>112</v>
      </c>
      <c r="H378" t="s">
        <v>186</v>
      </c>
      <c r="I378" t="s">
        <v>123</v>
      </c>
      <c r="J378" t="s">
        <v>124</v>
      </c>
      <c r="K378" t="s">
        <v>116</v>
      </c>
      <c r="L378" t="s">
        <v>118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2</v>
      </c>
      <c r="AX378">
        <v>1</v>
      </c>
      <c r="AY378">
        <v>0</v>
      </c>
      <c r="AZ378">
        <v>1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Q378">
        <v>0</v>
      </c>
      <c r="BR378">
        <v>0</v>
      </c>
      <c r="BS378">
        <v>0</v>
      </c>
      <c r="BT378">
        <v>0</v>
      </c>
      <c r="BU378">
        <v>2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I378">
        <v>5</v>
      </c>
      <c r="CJ378">
        <v>3</v>
      </c>
      <c r="CK378">
        <v>8</v>
      </c>
      <c r="CL378">
        <v>5</v>
      </c>
      <c r="CM378">
        <v>3</v>
      </c>
      <c r="CN378">
        <v>8</v>
      </c>
    </row>
    <row r="379" spans="1:92" x14ac:dyDescent="0.3">
      <c r="A379" s="20" t="s">
        <v>423</v>
      </c>
      <c r="B379" t="s">
        <v>108</v>
      </c>
      <c r="C379" t="s">
        <v>181</v>
      </c>
      <c r="D379">
        <v>406484</v>
      </c>
      <c r="E379" t="s">
        <v>196</v>
      </c>
      <c r="F379" t="s">
        <v>197</v>
      </c>
      <c r="G379" t="s">
        <v>112</v>
      </c>
      <c r="H379" t="s">
        <v>129</v>
      </c>
      <c r="I379" t="s">
        <v>123</v>
      </c>
      <c r="J379" t="s">
        <v>124</v>
      </c>
      <c r="K379" t="s">
        <v>116</v>
      </c>
      <c r="L379" t="s">
        <v>118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6</v>
      </c>
      <c r="AV379">
        <v>17</v>
      </c>
      <c r="AW379">
        <v>14</v>
      </c>
      <c r="AX379">
        <v>19</v>
      </c>
      <c r="AY379">
        <v>36</v>
      </c>
      <c r="AZ379">
        <v>65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Q379">
        <v>6</v>
      </c>
      <c r="BR379">
        <v>24</v>
      </c>
      <c r="BS379">
        <v>12</v>
      </c>
      <c r="BT379">
        <v>14</v>
      </c>
      <c r="BU379">
        <v>29</v>
      </c>
      <c r="BV379">
        <v>42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I379">
        <v>104</v>
      </c>
      <c r="CJ379">
        <v>181</v>
      </c>
      <c r="CK379">
        <v>285</v>
      </c>
      <c r="CL379">
        <v>104</v>
      </c>
      <c r="CM379">
        <v>181</v>
      </c>
      <c r="CN379">
        <v>285</v>
      </c>
    </row>
    <row r="380" spans="1:92" x14ac:dyDescent="0.3">
      <c r="A380" s="20" t="s">
        <v>423</v>
      </c>
      <c r="B380" t="s">
        <v>108</v>
      </c>
      <c r="C380" t="s">
        <v>181</v>
      </c>
      <c r="D380">
        <v>406485</v>
      </c>
      <c r="E380" t="s">
        <v>414</v>
      </c>
      <c r="F380" t="s">
        <v>415</v>
      </c>
      <c r="G380" t="s">
        <v>112</v>
      </c>
      <c r="H380" t="s">
        <v>122</v>
      </c>
      <c r="I380" t="s">
        <v>123</v>
      </c>
      <c r="J380" t="s">
        <v>124</v>
      </c>
      <c r="K380" t="s">
        <v>116</v>
      </c>
      <c r="L380" t="s">
        <v>118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3</v>
      </c>
      <c r="BF380">
        <v>0</v>
      </c>
      <c r="BG380">
        <v>0</v>
      </c>
      <c r="BH380">
        <v>0</v>
      </c>
      <c r="BI380">
        <v>0</v>
      </c>
      <c r="BJ380">
        <v>0</v>
      </c>
      <c r="BQ380">
        <v>2</v>
      </c>
      <c r="BR380">
        <v>1</v>
      </c>
      <c r="BS380">
        <v>1</v>
      </c>
      <c r="BT380">
        <v>2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5</v>
      </c>
      <c r="CB380">
        <v>2</v>
      </c>
      <c r="CC380">
        <v>0</v>
      </c>
      <c r="CD380">
        <v>0</v>
      </c>
      <c r="CE380">
        <v>0</v>
      </c>
      <c r="CF380">
        <v>0</v>
      </c>
      <c r="CI380">
        <v>13</v>
      </c>
      <c r="CJ380">
        <v>6</v>
      </c>
      <c r="CK380">
        <v>19</v>
      </c>
      <c r="CL380">
        <v>13</v>
      </c>
      <c r="CM380">
        <v>6</v>
      </c>
      <c r="CN380">
        <v>19</v>
      </c>
    </row>
    <row r="381" spans="1:92" x14ac:dyDescent="0.3">
      <c r="A381" s="20" t="s">
        <v>423</v>
      </c>
      <c r="B381" t="s">
        <v>108</v>
      </c>
      <c r="C381" t="s">
        <v>181</v>
      </c>
      <c r="D381">
        <v>406486</v>
      </c>
      <c r="E381" t="s">
        <v>444</v>
      </c>
      <c r="F381" t="s">
        <v>445</v>
      </c>
      <c r="G381" t="s">
        <v>112</v>
      </c>
      <c r="H381" t="s">
        <v>122</v>
      </c>
      <c r="I381" t="s">
        <v>123</v>
      </c>
      <c r="J381" t="s">
        <v>124</v>
      </c>
      <c r="K381" t="s">
        <v>116</v>
      </c>
      <c r="L381" t="s">
        <v>118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1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Q381">
        <v>0</v>
      </c>
      <c r="BR381">
        <v>2</v>
      </c>
      <c r="BS381">
        <v>1</v>
      </c>
      <c r="BT381">
        <v>1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I381">
        <v>2</v>
      </c>
      <c r="CJ381">
        <v>6</v>
      </c>
      <c r="CK381">
        <v>8</v>
      </c>
      <c r="CL381">
        <v>2</v>
      </c>
      <c r="CM381">
        <v>6</v>
      </c>
      <c r="CN381">
        <v>8</v>
      </c>
    </row>
    <row r="382" spans="1:92" x14ac:dyDescent="0.3">
      <c r="A382" s="20" t="s">
        <v>423</v>
      </c>
      <c r="B382" t="s">
        <v>108</v>
      </c>
      <c r="C382" t="s">
        <v>181</v>
      </c>
      <c r="D382">
        <v>406487</v>
      </c>
      <c r="E382" t="s">
        <v>198</v>
      </c>
      <c r="F382" t="s">
        <v>199</v>
      </c>
      <c r="G382" t="s">
        <v>112</v>
      </c>
      <c r="H382" t="s">
        <v>129</v>
      </c>
      <c r="I382" t="s">
        <v>123</v>
      </c>
      <c r="J382" t="s">
        <v>124</v>
      </c>
      <c r="K382" t="s">
        <v>116</v>
      </c>
      <c r="L382" t="s">
        <v>118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0</v>
      </c>
      <c r="AY382">
        <v>0</v>
      </c>
      <c r="AZ382">
        <v>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I382">
        <v>2</v>
      </c>
      <c r="CJ382">
        <v>2</v>
      </c>
      <c r="CK382">
        <v>4</v>
      </c>
      <c r="CL382">
        <v>2</v>
      </c>
      <c r="CM382">
        <v>2</v>
      </c>
      <c r="CN382">
        <v>4</v>
      </c>
    </row>
    <row r="383" spans="1:92" x14ac:dyDescent="0.3">
      <c r="A383" s="20" t="s">
        <v>423</v>
      </c>
      <c r="B383" t="s">
        <v>108</v>
      </c>
      <c r="C383" t="s">
        <v>181</v>
      </c>
      <c r="D383">
        <v>406488</v>
      </c>
      <c r="E383" t="s">
        <v>446</v>
      </c>
      <c r="F383" t="s">
        <v>447</v>
      </c>
      <c r="G383" t="s">
        <v>112</v>
      </c>
      <c r="H383" t="s">
        <v>186</v>
      </c>
      <c r="I383" t="s">
        <v>123</v>
      </c>
      <c r="J383" t="s">
        <v>130</v>
      </c>
      <c r="K383" t="s">
        <v>116</v>
      </c>
      <c r="L383" t="s">
        <v>118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</row>
    <row r="384" spans="1:92" x14ac:dyDescent="0.3">
      <c r="A384" s="20" t="s">
        <v>423</v>
      </c>
      <c r="B384" t="s">
        <v>108</v>
      </c>
      <c r="C384" t="s">
        <v>181</v>
      </c>
      <c r="D384">
        <v>406493</v>
      </c>
      <c r="E384" t="s">
        <v>202</v>
      </c>
      <c r="F384" t="s">
        <v>203</v>
      </c>
      <c r="G384" t="s">
        <v>112</v>
      </c>
      <c r="H384" t="s">
        <v>186</v>
      </c>
      <c r="I384" t="s">
        <v>123</v>
      </c>
      <c r="J384" t="s">
        <v>124</v>
      </c>
      <c r="K384" t="s">
        <v>116</v>
      </c>
      <c r="L384" t="s">
        <v>118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3</v>
      </c>
      <c r="AV384">
        <v>2</v>
      </c>
      <c r="AW384">
        <v>0</v>
      </c>
      <c r="AX384">
        <v>5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Q384">
        <v>2</v>
      </c>
      <c r="BR384">
        <v>0</v>
      </c>
      <c r="BS384">
        <v>0</v>
      </c>
      <c r="BT384">
        <v>4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I384">
        <v>9</v>
      </c>
      <c r="CJ384">
        <v>12</v>
      </c>
      <c r="CK384">
        <v>21</v>
      </c>
      <c r="CL384">
        <v>9</v>
      </c>
      <c r="CM384">
        <v>12</v>
      </c>
      <c r="CN384">
        <v>21</v>
      </c>
    </row>
    <row r="385" spans="1:92" x14ac:dyDescent="0.3">
      <c r="A385" s="20" t="s">
        <v>423</v>
      </c>
      <c r="B385" t="s">
        <v>108</v>
      </c>
      <c r="C385" t="s">
        <v>181</v>
      </c>
      <c r="D385">
        <v>406510</v>
      </c>
      <c r="E385" t="s">
        <v>204</v>
      </c>
      <c r="F385" t="s">
        <v>205</v>
      </c>
      <c r="G385" t="s">
        <v>112</v>
      </c>
      <c r="H385" t="s">
        <v>136</v>
      </c>
      <c r="I385" t="s">
        <v>123</v>
      </c>
      <c r="J385" t="s">
        <v>124</v>
      </c>
      <c r="K385" t="s">
        <v>116</v>
      </c>
      <c r="L385" t="s">
        <v>118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</row>
    <row r="386" spans="1:92" x14ac:dyDescent="0.3">
      <c r="A386" s="20" t="s">
        <v>423</v>
      </c>
      <c r="B386" t="s">
        <v>108</v>
      </c>
      <c r="C386" t="s">
        <v>181</v>
      </c>
      <c r="D386">
        <v>407808</v>
      </c>
      <c r="E386" t="s">
        <v>206</v>
      </c>
      <c r="F386" t="s">
        <v>207</v>
      </c>
      <c r="G386" t="s">
        <v>112</v>
      </c>
      <c r="H386" t="s">
        <v>186</v>
      </c>
      <c r="I386" t="s">
        <v>123</v>
      </c>
      <c r="J386" t="s">
        <v>124</v>
      </c>
      <c r="K386" t="s">
        <v>116</v>
      </c>
      <c r="L386" t="s">
        <v>118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4</v>
      </c>
      <c r="AW386">
        <v>1</v>
      </c>
      <c r="AX386">
        <v>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4</v>
      </c>
      <c r="BF386">
        <v>10</v>
      </c>
      <c r="BG386">
        <v>0</v>
      </c>
      <c r="BH386">
        <v>0</v>
      </c>
      <c r="BI386">
        <v>0</v>
      </c>
      <c r="BJ386">
        <v>0</v>
      </c>
      <c r="BQ386">
        <v>2</v>
      </c>
      <c r="BR386">
        <v>3</v>
      </c>
      <c r="BS386">
        <v>10</v>
      </c>
      <c r="BT386">
        <v>13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15</v>
      </c>
      <c r="CB386">
        <v>17</v>
      </c>
      <c r="CC386">
        <v>0</v>
      </c>
      <c r="CD386">
        <v>0</v>
      </c>
      <c r="CE386">
        <v>0</v>
      </c>
      <c r="CF386">
        <v>0</v>
      </c>
      <c r="CI386">
        <v>32</v>
      </c>
      <c r="CJ386">
        <v>53</v>
      </c>
      <c r="CK386">
        <v>85</v>
      </c>
      <c r="CL386">
        <v>32</v>
      </c>
      <c r="CM386">
        <v>53</v>
      </c>
      <c r="CN386">
        <v>85</v>
      </c>
    </row>
    <row r="387" spans="1:92" x14ac:dyDescent="0.3">
      <c r="A387" s="20" t="s">
        <v>423</v>
      </c>
      <c r="B387" t="s">
        <v>108</v>
      </c>
      <c r="C387" t="s">
        <v>181</v>
      </c>
      <c r="D387">
        <v>410119</v>
      </c>
      <c r="E387" t="s">
        <v>208</v>
      </c>
      <c r="F387" t="s">
        <v>209</v>
      </c>
      <c r="G387" t="s">
        <v>112</v>
      </c>
      <c r="H387" t="s">
        <v>136</v>
      </c>
      <c r="I387" t="s">
        <v>123</v>
      </c>
      <c r="J387" t="s">
        <v>124</v>
      </c>
      <c r="K387" t="s">
        <v>116</v>
      </c>
      <c r="L387" t="s">
        <v>118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</row>
    <row r="388" spans="1:92" x14ac:dyDescent="0.3">
      <c r="A388" s="20" t="s">
        <v>423</v>
      </c>
      <c r="B388" t="s">
        <v>108</v>
      </c>
      <c r="C388" t="s">
        <v>181</v>
      </c>
      <c r="D388">
        <v>482504</v>
      </c>
      <c r="E388" t="s">
        <v>210</v>
      </c>
      <c r="F388" t="s">
        <v>211</v>
      </c>
      <c r="G388" t="s">
        <v>112</v>
      </c>
      <c r="H388" t="s">
        <v>122</v>
      </c>
      <c r="I388" t="s">
        <v>123</v>
      </c>
      <c r="J388" t="s">
        <v>124</v>
      </c>
      <c r="K388" t="s">
        <v>116</v>
      </c>
      <c r="L388" t="s">
        <v>118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4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I388">
        <v>6</v>
      </c>
      <c r="CJ388">
        <v>0</v>
      </c>
      <c r="CK388">
        <v>6</v>
      </c>
      <c r="CL388">
        <v>6</v>
      </c>
      <c r="CM388">
        <v>0</v>
      </c>
      <c r="CN388">
        <v>6</v>
      </c>
    </row>
    <row r="389" spans="1:92" x14ac:dyDescent="0.3">
      <c r="A389" s="20" t="s">
        <v>423</v>
      </c>
      <c r="B389" t="s">
        <v>108</v>
      </c>
      <c r="C389" t="s">
        <v>181</v>
      </c>
      <c r="D389">
        <v>482521</v>
      </c>
      <c r="E389" t="s">
        <v>408</v>
      </c>
      <c r="F389" t="s">
        <v>409</v>
      </c>
      <c r="G389" t="s">
        <v>112</v>
      </c>
      <c r="H389" t="s">
        <v>191</v>
      </c>
      <c r="I389" t="s">
        <v>123</v>
      </c>
      <c r="J389" t="s">
        <v>124</v>
      </c>
      <c r="K389" t="s">
        <v>116</v>
      </c>
      <c r="L389" t="s">
        <v>118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</row>
    <row r="390" spans="1:92" x14ac:dyDescent="0.3">
      <c r="A390" s="20" t="s">
        <v>423</v>
      </c>
      <c r="B390" t="s">
        <v>108</v>
      </c>
      <c r="C390" t="s">
        <v>181</v>
      </c>
      <c r="D390">
        <v>482542</v>
      </c>
      <c r="E390" t="s">
        <v>448</v>
      </c>
      <c r="F390" t="s">
        <v>449</v>
      </c>
      <c r="G390" t="s">
        <v>112</v>
      </c>
      <c r="H390" t="s">
        <v>122</v>
      </c>
      <c r="I390" t="s">
        <v>123</v>
      </c>
      <c r="J390" t="s">
        <v>124</v>
      </c>
      <c r="K390" t="s">
        <v>116</v>
      </c>
      <c r="L390" t="s">
        <v>118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</row>
    <row r="391" spans="1:92" x14ac:dyDescent="0.3">
      <c r="A391" s="20" t="s">
        <v>423</v>
      </c>
      <c r="B391" t="s">
        <v>108</v>
      </c>
      <c r="C391" t="s">
        <v>181</v>
      </c>
      <c r="D391">
        <v>482600</v>
      </c>
      <c r="E391" t="s">
        <v>218</v>
      </c>
      <c r="F391" t="s">
        <v>219</v>
      </c>
      <c r="G391" t="s">
        <v>112</v>
      </c>
      <c r="H391" t="s">
        <v>186</v>
      </c>
      <c r="I391" t="s">
        <v>123</v>
      </c>
      <c r="J391" t="s">
        <v>124</v>
      </c>
      <c r="K391" t="s">
        <v>116</v>
      </c>
      <c r="L391" t="s">
        <v>118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</row>
    <row r="392" spans="1:92" x14ac:dyDescent="0.3">
      <c r="A392" s="20" t="s">
        <v>423</v>
      </c>
      <c r="B392" t="s">
        <v>108</v>
      </c>
      <c r="C392" t="s">
        <v>181</v>
      </c>
      <c r="D392">
        <v>482611</v>
      </c>
      <c r="E392" t="s">
        <v>220</v>
      </c>
      <c r="F392" t="s">
        <v>221</v>
      </c>
      <c r="G392" t="s">
        <v>112</v>
      </c>
      <c r="H392" t="s">
        <v>186</v>
      </c>
      <c r="I392" t="s">
        <v>123</v>
      </c>
      <c r="J392" t="s">
        <v>124</v>
      </c>
      <c r="K392" t="s">
        <v>116</v>
      </c>
      <c r="L392" t="s">
        <v>118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</row>
    <row r="393" spans="1:92" x14ac:dyDescent="0.3">
      <c r="A393" s="20" t="s">
        <v>423</v>
      </c>
      <c r="B393" t="s">
        <v>108</v>
      </c>
      <c r="C393" t="s">
        <v>181</v>
      </c>
      <c r="D393">
        <v>482612</v>
      </c>
      <c r="E393" t="s">
        <v>222</v>
      </c>
      <c r="F393" t="s">
        <v>223</v>
      </c>
      <c r="G393" t="s">
        <v>112</v>
      </c>
      <c r="H393" t="s">
        <v>122</v>
      </c>
      <c r="I393" t="s">
        <v>123</v>
      </c>
      <c r="J393" t="s">
        <v>124</v>
      </c>
      <c r="K393" t="s">
        <v>116</v>
      </c>
      <c r="L393" t="s">
        <v>118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</row>
    <row r="394" spans="1:92" x14ac:dyDescent="0.3">
      <c r="A394" s="20" t="s">
        <v>423</v>
      </c>
      <c r="B394" t="s">
        <v>108</v>
      </c>
      <c r="C394" t="s">
        <v>181</v>
      </c>
      <c r="D394">
        <v>482614</v>
      </c>
      <c r="E394" t="s">
        <v>450</v>
      </c>
      <c r="F394" t="s">
        <v>451</v>
      </c>
      <c r="G394" t="s">
        <v>112</v>
      </c>
      <c r="H394" t="s">
        <v>122</v>
      </c>
      <c r="I394" t="s">
        <v>123</v>
      </c>
      <c r="J394" t="s">
        <v>124</v>
      </c>
      <c r="K394" t="s">
        <v>116</v>
      </c>
      <c r="L394" t="s">
        <v>118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</row>
    <row r="395" spans="1:92" x14ac:dyDescent="0.3">
      <c r="A395" s="20" t="s">
        <v>423</v>
      </c>
      <c r="B395" t="s">
        <v>108</v>
      </c>
      <c r="C395" t="s">
        <v>181</v>
      </c>
      <c r="D395">
        <v>482617</v>
      </c>
      <c r="E395" t="s">
        <v>224</v>
      </c>
      <c r="F395" t="s">
        <v>225</v>
      </c>
      <c r="G395" t="s">
        <v>112</v>
      </c>
      <c r="H395" t="s">
        <v>191</v>
      </c>
      <c r="I395" t="s">
        <v>123</v>
      </c>
      <c r="J395" t="s">
        <v>124</v>
      </c>
      <c r="K395" t="s">
        <v>116</v>
      </c>
      <c r="L395" t="s">
        <v>118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</row>
    <row r="396" spans="1:92" x14ac:dyDescent="0.3">
      <c r="A396" s="20" t="s">
        <v>423</v>
      </c>
      <c r="B396" t="s">
        <v>108</v>
      </c>
      <c r="C396" t="s">
        <v>181</v>
      </c>
      <c r="D396">
        <v>482619</v>
      </c>
      <c r="E396" t="s">
        <v>226</v>
      </c>
      <c r="F396" t="s">
        <v>227</v>
      </c>
      <c r="G396" t="s">
        <v>112</v>
      </c>
      <c r="H396" t="s">
        <v>191</v>
      </c>
      <c r="I396" t="s">
        <v>123</v>
      </c>
      <c r="J396" t="s">
        <v>124</v>
      </c>
      <c r="K396" t="s">
        <v>116</v>
      </c>
      <c r="L396" t="s">
        <v>118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</row>
    <row r="397" spans="1:92" x14ac:dyDescent="0.3">
      <c r="A397" s="20" t="s">
        <v>423</v>
      </c>
      <c r="B397" t="s">
        <v>108</v>
      </c>
      <c r="C397" t="s">
        <v>181</v>
      </c>
      <c r="D397">
        <v>482682</v>
      </c>
      <c r="E397" t="s">
        <v>452</v>
      </c>
      <c r="F397" t="s">
        <v>453</v>
      </c>
      <c r="G397" t="s">
        <v>112</v>
      </c>
      <c r="H397" t="s">
        <v>191</v>
      </c>
      <c r="I397" t="s">
        <v>123</v>
      </c>
      <c r="J397" t="s">
        <v>124</v>
      </c>
      <c r="K397" t="s">
        <v>116</v>
      </c>
      <c r="L397" t="s">
        <v>118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</row>
    <row r="398" spans="1:92" x14ac:dyDescent="0.3">
      <c r="A398" s="20" t="s">
        <v>423</v>
      </c>
      <c r="B398" t="s">
        <v>108</v>
      </c>
      <c r="C398" t="s">
        <v>181</v>
      </c>
      <c r="D398">
        <v>482719</v>
      </c>
      <c r="E398" t="s">
        <v>230</v>
      </c>
      <c r="F398" t="s">
        <v>231</v>
      </c>
      <c r="G398" t="s">
        <v>112</v>
      </c>
      <c r="H398" t="s">
        <v>129</v>
      </c>
      <c r="I398" t="s">
        <v>123</v>
      </c>
      <c r="J398" t="s">
        <v>124</v>
      </c>
      <c r="K398" t="s">
        <v>116</v>
      </c>
      <c r="L398" t="s">
        <v>118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</row>
    <row r="399" spans="1:92" x14ac:dyDescent="0.3">
      <c r="A399" s="20" t="s">
        <v>423</v>
      </c>
      <c r="B399" t="s">
        <v>108</v>
      </c>
      <c r="C399" t="s">
        <v>181</v>
      </c>
      <c r="D399">
        <v>482730</v>
      </c>
      <c r="E399" t="s">
        <v>232</v>
      </c>
      <c r="F399" t="s">
        <v>233</v>
      </c>
      <c r="G399" t="s">
        <v>112</v>
      </c>
      <c r="H399" t="s">
        <v>186</v>
      </c>
      <c r="I399" t="s">
        <v>123</v>
      </c>
      <c r="J399" t="s">
        <v>124</v>
      </c>
      <c r="K399" t="s">
        <v>116</v>
      </c>
      <c r="L399" t="s">
        <v>118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</row>
    <row r="400" spans="1:92" x14ac:dyDescent="0.3">
      <c r="A400" s="20" t="s">
        <v>423</v>
      </c>
      <c r="B400" t="s">
        <v>108</v>
      </c>
      <c r="C400" t="s">
        <v>181</v>
      </c>
      <c r="D400">
        <v>482821</v>
      </c>
      <c r="E400" t="s">
        <v>234</v>
      </c>
      <c r="F400" t="s">
        <v>235</v>
      </c>
      <c r="G400" t="s">
        <v>112</v>
      </c>
      <c r="H400" t="s">
        <v>191</v>
      </c>
      <c r="I400" t="s">
        <v>123</v>
      </c>
      <c r="J400" t="s">
        <v>124</v>
      </c>
      <c r="K400" t="s">
        <v>116</v>
      </c>
      <c r="L400" t="s">
        <v>118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</row>
    <row r="401" spans="1:92" x14ac:dyDescent="0.3">
      <c r="A401" s="20" t="s">
        <v>423</v>
      </c>
      <c r="B401" t="s">
        <v>108</v>
      </c>
      <c r="C401" t="s">
        <v>238</v>
      </c>
      <c r="D401">
        <v>406495</v>
      </c>
      <c r="E401" t="s">
        <v>239</v>
      </c>
      <c r="F401" t="s">
        <v>240</v>
      </c>
      <c r="G401" t="s">
        <v>112</v>
      </c>
      <c r="H401" t="s">
        <v>136</v>
      </c>
      <c r="I401" t="s">
        <v>123</v>
      </c>
      <c r="J401" t="s">
        <v>124</v>
      </c>
      <c r="K401" t="s">
        <v>116</v>
      </c>
      <c r="L401" t="s">
        <v>118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</row>
    <row r="402" spans="1:92" x14ac:dyDescent="0.3">
      <c r="A402" s="20" t="s">
        <v>423</v>
      </c>
      <c r="B402" t="s">
        <v>108</v>
      </c>
      <c r="C402" t="s">
        <v>238</v>
      </c>
      <c r="D402">
        <v>406500</v>
      </c>
      <c r="E402" t="s">
        <v>241</v>
      </c>
      <c r="F402" t="s">
        <v>242</v>
      </c>
      <c r="G402" t="s">
        <v>112</v>
      </c>
      <c r="H402" t="s">
        <v>136</v>
      </c>
      <c r="I402" t="s">
        <v>123</v>
      </c>
      <c r="J402" t="s">
        <v>124</v>
      </c>
      <c r="K402" t="s">
        <v>243</v>
      </c>
      <c r="L402" t="s">
        <v>118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I402">
        <v>1</v>
      </c>
      <c r="CJ402">
        <v>2</v>
      </c>
      <c r="CK402">
        <v>3</v>
      </c>
      <c r="CL402">
        <v>1</v>
      </c>
      <c r="CM402">
        <v>2</v>
      </c>
      <c r="CN402">
        <v>3</v>
      </c>
    </row>
    <row r="403" spans="1:92" x14ac:dyDescent="0.3">
      <c r="A403" s="20" t="s">
        <v>423</v>
      </c>
      <c r="B403" t="s">
        <v>108</v>
      </c>
      <c r="C403" t="s">
        <v>238</v>
      </c>
      <c r="D403">
        <v>406512</v>
      </c>
      <c r="E403" t="s">
        <v>246</v>
      </c>
      <c r="F403" t="s">
        <v>247</v>
      </c>
      <c r="G403" t="s">
        <v>112</v>
      </c>
      <c r="H403" t="s">
        <v>136</v>
      </c>
      <c r="I403" t="s">
        <v>123</v>
      </c>
      <c r="J403" t="s">
        <v>124</v>
      </c>
      <c r="K403" t="s">
        <v>116</v>
      </c>
      <c r="L403" t="s">
        <v>118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</row>
    <row r="404" spans="1:92" x14ac:dyDescent="0.3">
      <c r="A404" s="20" t="s">
        <v>423</v>
      </c>
      <c r="B404" t="s">
        <v>108</v>
      </c>
      <c r="C404" t="s">
        <v>238</v>
      </c>
      <c r="D404">
        <v>406521</v>
      </c>
      <c r="E404" t="s">
        <v>454</v>
      </c>
      <c r="F404" t="s">
        <v>455</v>
      </c>
      <c r="G404" t="s">
        <v>112</v>
      </c>
      <c r="H404" t="s">
        <v>136</v>
      </c>
      <c r="I404" t="s">
        <v>123</v>
      </c>
      <c r="J404" t="s">
        <v>130</v>
      </c>
      <c r="K404" t="s">
        <v>116</v>
      </c>
      <c r="L404" t="s">
        <v>118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</row>
    <row r="405" spans="1:92" x14ac:dyDescent="0.3">
      <c r="A405" s="20" t="s">
        <v>423</v>
      </c>
      <c r="B405" t="s">
        <v>108</v>
      </c>
      <c r="C405" t="s">
        <v>238</v>
      </c>
      <c r="D405">
        <v>406557</v>
      </c>
      <c r="E405" t="s">
        <v>456</v>
      </c>
      <c r="F405" t="s">
        <v>457</v>
      </c>
      <c r="G405" t="s">
        <v>112</v>
      </c>
      <c r="H405" t="s">
        <v>136</v>
      </c>
      <c r="I405" t="s">
        <v>123</v>
      </c>
      <c r="J405" t="s">
        <v>130</v>
      </c>
      <c r="K405" t="s">
        <v>116</v>
      </c>
      <c r="L405" t="s">
        <v>118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</row>
    <row r="406" spans="1:92" x14ac:dyDescent="0.3">
      <c r="A406" s="20" t="s">
        <v>423</v>
      </c>
      <c r="B406" t="s">
        <v>108</v>
      </c>
      <c r="C406" t="s">
        <v>238</v>
      </c>
      <c r="D406">
        <v>406570</v>
      </c>
      <c r="E406" t="s">
        <v>248</v>
      </c>
      <c r="F406" t="s">
        <v>249</v>
      </c>
      <c r="G406" t="s">
        <v>112</v>
      </c>
      <c r="H406" t="s">
        <v>136</v>
      </c>
      <c r="I406" t="s">
        <v>123</v>
      </c>
      <c r="J406" t="s">
        <v>124</v>
      </c>
      <c r="K406" t="s">
        <v>116</v>
      </c>
      <c r="L406" t="s">
        <v>118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</v>
      </c>
      <c r="AX406">
        <v>3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I406">
        <v>3</v>
      </c>
      <c r="CJ406">
        <v>4</v>
      </c>
      <c r="CK406">
        <v>7</v>
      </c>
      <c r="CL406">
        <v>3</v>
      </c>
      <c r="CM406">
        <v>4</v>
      </c>
      <c r="CN406">
        <v>7</v>
      </c>
    </row>
    <row r="407" spans="1:92" x14ac:dyDescent="0.3">
      <c r="A407" s="20" t="s">
        <v>423</v>
      </c>
      <c r="B407" t="s">
        <v>108</v>
      </c>
      <c r="C407" t="s">
        <v>238</v>
      </c>
      <c r="D407">
        <v>482522</v>
      </c>
      <c r="E407" t="s">
        <v>250</v>
      </c>
      <c r="F407" t="s">
        <v>251</v>
      </c>
      <c r="G407" t="s">
        <v>112</v>
      </c>
      <c r="H407" t="s">
        <v>136</v>
      </c>
      <c r="I407" t="s">
        <v>123</v>
      </c>
      <c r="J407" t="s">
        <v>124</v>
      </c>
      <c r="K407" t="s">
        <v>116</v>
      </c>
      <c r="L407" t="s">
        <v>118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</row>
    <row r="408" spans="1:92" x14ac:dyDescent="0.3">
      <c r="A408" s="20" t="s">
        <v>423</v>
      </c>
      <c r="B408" t="s">
        <v>108</v>
      </c>
      <c r="C408" t="s">
        <v>238</v>
      </c>
      <c r="D408">
        <v>482544</v>
      </c>
      <c r="E408" t="s">
        <v>416</v>
      </c>
      <c r="F408" t="s">
        <v>417</v>
      </c>
      <c r="G408" t="s">
        <v>112</v>
      </c>
      <c r="H408" t="s">
        <v>136</v>
      </c>
      <c r="I408" t="s">
        <v>123</v>
      </c>
      <c r="J408" t="s">
        <v>124</v>
      </c>
      <c r="K408" t="s">
        <v>116</v>
      </c>
      <c r="L408" t="s">
        <v>118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</row>
    <row r="409" spans="1:92" x14ac:dyDescent="0.3">
      <c r="A409" s="20" t="s">
        <v>423</v>
      </c>
      <c r="B409" t="s">
        <v>108</v>
      </c>
      <c r="C409" t="s">
        <v>238</v>
      </c>
      <c r="D409">
        <v>482620</v>
      </c>
      <c r="E409" t="s">
        <v>252</v>
      </c>
      <c r="F409" t="s">
        <v>253</v>
      </c>
      <c r="G409" t="s">
        <v>112</v>
      </c>
      <c r="H409" t="s">
        <v>136</v>
      </c>
      <c r="I409" t="s">
        <v>123</v>
      </c>
      <c r="J409" t="s">
        <v>124</v>
      </c>
      <c r="K409" t="s">
        <v>116</v>
      </c>
      <c r="L409" t="s">
        <v>118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</row>
    <row r="410" spans="1:92" x14ac:dyDescent="0.3">
      <c r="A410" s="20" t="s">
        <v>423</v>
      </c>
      <c r="B410" t="s">
        <v>108</v>
      </c>
      <c r="C410" t="s">
        <v>238</v>
      </c>
      <c r="D410">
        <v>482727</v>
      </c>
      <c r="E410" t="s">
        <v>458</v>
      </c>
      <c r="F410" t="s">
        <v>459</v>
      </c>
      <c r="G410" t="s">
        <v>112</v>
      </c>
      <c r="H410" t="s">
        <v>191</v>
      </c>
      <c r="I410" t="s">
        <v>123</v>
      </c>
      <c r="J410" t="s">
        <v>124</v>
      </c>
      <c r="K410" t="s">
        <v>116</v>
      </c>
      <c r="L410" t="s">
        <v>118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</row>
    <row r="411" spans="1:92" x14ac:dyDescent="0.3">
      <c r="A411" s="20" t="s">
        <v>423</v>
      </c>
      <c r="B411" t="s">
        <v>108</v>
      </c>
      <c r="C411" t="s">
        <v>256</v>
      </c>
      <c r="D411">
        <v>410229</v>
      </c>
      <c r="E411" t="s">
        <v>259</v>
      </c>
      <c r="F411" t="s">
        <v>260</v>
      </c>
      <c r="G411" t="s">
        <v>112</v>
      </c>
      <c r="H411" t="s">
        <v>261</v>
      </c>
      <c r="I411" t="s">
        <v>123</v>
      </c>
      <c r="J411" t="s">
        <v>124</v>
      </c>
      <c r="K411" t="s">
        <v>116</v>
      </c>
      <c r="L411" t="s">
        <v>118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5</v>
      </c>
      <c r="AV411">
        <v>16</v>
      </c>
      <c r="AW411">
        <v>24</v>
      </c>
      <c r="AX411">
        <v>20</v>
      </c>
      <c r="AY411">
        <v>18</v>
      </c>
      <c r="AZ411">
        <v>15</v>
      </c>
      <c r="BA411">
        <v>1</v>
      </c>
      <c r="BB411">
        <v>2</v>
      </c>
      <c r="BC411">
        <v>0</v>
      </c>
      <c r="BD411">
        <v>0</v>
      </c>
      <c r="BE411">
        <v>26</v>
      </c>
      <c r="BF411">
        <v>19</v>
      </c>
      <c r="BG411">
        <v>0</v>
      </c>
      <c r="BH411">
        <v>0</v>
      </c>
      <c r="BI411">
        <v>0</v>
      </c>
      <c r="BJ411">
        <v>0</v>
      </c>
      <c r="BQ411">
        <v>5</v>
      </c>
      <c r="BR411">
        <v>11</v>
      </c>
      <c r="BS411">
        <v>5</v>
      </c>
      <c r="BT411">
        <v>8</v>
      </c>
      <c r="BU411">
        <v>3</v>
      </c>
      <c r="BV411">
        <v>5</v>
      </c>
      <c r="BW411">
        <v>3</v>
      </c>
      <c r="BX411">
        <v>1</v>
      </c>
      <c r="BY411">
        <v>0</v>
      </c>
      <c r="BZ411">
        <v>0</v>
      </c>
      <c r="CA411">
        <v>14</v>
      </c>
      <c r="CB411">
        <v>14</v>
      </c>
      <c r="CC411">
        <v>0</v>
      </c>
      <c r="CD411">
        <v>0</v>
      </c>
      <c r="CE411">
        <v>0</v>
      </c>
      <c r="CF411">
        <v>0</v>
      </c>
      <c r="CI411">
        <v>104</v>
      </c>
      <c r="CJ411">
        <v>111</v>
      </c>
      <c r="CK411">
        <v>215</v>
      </c>
      <c r="CL411">
        <v>104</v>
      </c>
      <c r="CM411">
        <v>111</v>
      </c>
      <c r="CN411">
        <v>215</v>
      </c>
    </row>
    <row r="412" spans="1:92" x14ac:dyDescent="0.3">
      <c r="A412" s="20" t="s">
        <v>423</v>
      </c>
      <c r="B412" t="s">
        <v>108</v>
      </c>
      <c r="C412" t="s">
        <v>262</v>
      </c>
      <c r="D412">
        <v>136520</v>
      </c>
      <c r="E412" t="s">
        <v>263</v>
      </c>
      <c r="F412" t="s">
        <v>418</v>
      </c>
      <c r="G412" t="s">
        <v>112</v>
      </c>
      <c r="H412" t="s">
        <v>138</v>
      </c>
      <c r="I412" t="s">
        <v>114</v>
      </c>
      <c r="J412" t="s">
        <v>115</v>
      </c>
      <c r="K412" t="s">
        <v>116</v>
      </c>
      <c r="L412" t="s">
        <v>118</v>
      </c>
      <c r="O412">
        <v>0</v>
      </c>
      <c r="P412">
        <v>2</v>
      </c>
      <c r="Q412">
        <v>0</v>
      </c>
      <c r="R412">
        <v>0</v>
      </c>
      <c r="S412">
        <v>2</v>
      </c>
      <c r="T412">
        <v>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3</v>
      </c>
      <c r="AF412">
        <v>6</v>
      </c>
      <c r="AG412">
        <v>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I412">
        <v>0</v>
      </c>
      <c r="CJ412">
        <v>0</v>
      </c>
      <c r="CK412">
        <v>0</v>
      </c>
      <c r="CL412">
        <v>3</v>
      </c>
      <c r="CM412">
        <v>6</v>
      </c>
      <c r="CN412">
        <v>9</v>
      </c>
    </row>
    <row r="413" spans="1:92" x14ac:dyDescent="0.3">
      <c r="A413" s="20" t="s">
        <v>423</v>
      </c>
      <c r="B413" t="s">
        <v>108</v>
      </c>
      <c r="C413" t="s">
        <v>262</v>
      </c>
      <c r="D413">
        <v>136521</v>
      </c>
      <c r="E413" t="s">
        <v>265</v>
      </c>
      <c r="F413" t="s">
        <v>266</v>
      </c>
      <c r="G413" t="s">
        <v>112</v>
      </c>
      <c r="H413" t="s">
        <v>138</v>
      </c>
      <c r="I413" t="s">
        <v>114</v>
      </c>
      <c r="J413" t="s">
        <v>115</v>
      </c>
      <c r="K413" t="s">
        <v>116</v>
      </c>
      <c r="L413" t="s">
        <v>118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</row>
    <row r="414" spans="1:92" x14ac:dyDescent="0.3">
      <c r="A414" s="20" t="s">
        <v>423</v>
      </c>
      <c r="B414" t="s">
        <v>108</v>
      </c>
      <c r="C414" t="s">
        <v>262</v>
      </c>
      <c r="D414">
        <v>136523</v>
      </c>
      <c r="E414" t="s">
        <v>267</v>
      </c>
      <c r="F414" t="s">
        <v>268</v>
      </c>
      <c r="G414" t="s">
        <v>112</v>
      </c>
      <c r="H414" t="s">
        <v>147</v>
      </c>
      <c r="I414" t="s">
        <v>114</v>
      </c>
      <c r="J414" t="s">
        <v>115</v>
      </c>
      <c r="K414" t="s">
        <v>116</v>
      </c>
      <c r="L414" t="s">
        <v>118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1</v>
      </c>
    </row>
    <row r="415" spans="1:92" x14ac:dyDescent="0.3">
      <c r="A415" s="20" t="s">
        <v>423</v>
      </c>
      <c r="B415" t="s">
        <v>108</v>
      </c>
      <c r="C415" t="s">
        <v>262</v>
      </c>
      <c r="D415">
        <v>136525</v>
      </c>
      <c r="E415" t="s">
        <v>269</v>
      </c>
      <c r="F415" t="s">
        <v>270</v>
      </c>
      <c r="G415" t="s">
        <v>112</v>
      </c>
      <c r="H415" t="s">
        <v>147</v>
      </c>
      <c r="I415" t="s">
        <v>114</v>
      </c>
      <c r="J415" t="s">
        <v>115</v>
      </c>
      <c r="K415" t="s">
        <v>116</v>
      </c>
      <c r="L415" t="s">
        <v>118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</row>
    <row r="416" spans="1:92" x14ac:dyDescent="0.3">
      <c r="A416" s="20" t="s">
        <v>423</v>
      </c>
      <c r="B416" t="s">
        <v>108</v>
      </c>
      <c r="C416" t="s">
        <v>262</v>
      </c>
      <c r="D416">
        <v>406533</v>
      </c>
      <c r="E416" t="s">
        <v>271</v>
      </c>
      <c r="F416" t="s">
        <v>272</v>
      </c>
      <c r="G416" t="s">
        <v>112</v>
      </c>
      <c r="H416" t="s">
        <v>129</v>
      </c>
      <c r="I416" t="s">
        <v>123</v>
      </c>
      <c r="J416" t="s">
        <v>130</v>
      </c>
      <c r="K416" t="s">
        <v>116</v>
      </c>
      <c r="L416" t="s">
        <v>118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</row>
    <row r="417" spans="1:92" x14ac:dyDescent="0.3">
      <c r="A417" s="20" t="s">
        <v>423</v>
      </c>
      <c r="B417" t="s">
        <v>108</v>
      </c>
      <c r="C417" t="s">
        <v>262</v>
      </c>
      <c r="D417">
        <v>482834</v>
      </c>
      <c r="E417" t="s">
        <v>277</v>
      </c>
      <c r="F417" t="s">
        <v>278</v>
      </c>
      <c r="G417" t="s">
        <v>112</v>
      </c>
      <c r="H417" t="s">
        <v>147</v>
      </c>
      <c r="I417" t="s">
        <v>123</v>
      </c>
      <c r="J417" t="s">
        <v>124</v>
      </c>
      <c r="K417" t="s">
        <v>116</v>
      </c>
      <c r="L417" t="s">
        <v>118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</row>
    <row r="418" spans="1:92" x14ac:dyDescent="0.3">
      <c r="A418" s="20" t="s">
        <v>423</v>
      </c>
      <c r="B418" t="s">
        <v>108</v>
      </c>
      <c r="C418" t="s">
        <v>262</v>
      </c>
      <c r="D418">
        <v>482835</v>
      </c>
      <c r="E418" t="s">
        <v>279</v>
      </c>
      <c r="F418" t="s">
        <v>280</v>
      </c>
      <c r="G418" t="s">
        <v>112</v>
      </c>
      <c r="H418" t="s">
        <v>147</v>
      </c>
      <c r="I418" t="s">
        <v>123</v>
      </c>
      <c r="J418" t="s">
        <v>124</v>
      </c>
      <c r="K418" t="s">
        <v>116</v>
      </c>
      <c r="L418" t="s">
        <v>118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</row>
    <row r="419" spans="1:92" x14ac:dyDescent="0.3">
      <c r="A419" s="20" t="s">
        <v>423</v>
      </c>
      <c r="B419" t="s">
        <v>108</v>
      </c>
      <c r="C419" t="s">
        <v>262</v>
      </c>
      <c r="D419">
        <v>482929</v>
      </c>
      <c r="E419" t="s">
        <v>283</v>
      </c>
      <c r="F419" t="s">
        <v>284</v>
      </c>
      <c r="G419" t="s">
        <v>112</v>
      </c>
      <c r="H419" t="s">
        <v>138</v>
      </c>
      <c r="I419" t="s">
        <v>123</v>
      </c>
      <c r="J419" t="s">
        <v>124</v>
      </c>
      <c r="K419" t="s">
        <v>116</v>
      </c>
      <c r="L419" t="s">
        <v>118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</row>
    <row r="420" spans="1:92" x14ac:dyDescent="0.3">
      <c r="A420" s="20" t="s">
        <v>423</v>
      </c>
      <c r="B420" t="s">
        <v>108</v>
      </c>
      <c r="C420" t="s">
        <v>262</v>
      </c>
      <c r="D420">
        <v>482941</v>
      </c>
      <c r="E420" t="s">
        <v>285</v>
      </c>
      <c r="F420" t="s">
        <v>286</v>
      </c>
      <c r="G420" t="s">
        <v>112</v>
      </c>
      <c r="H420" t="s">
        <v>147</v>
      </c>
      <c r="I420" t="s">
        <v>123</v>
      </c>
      <c r="J420" t="s">
        <v>124</v>
      </c>
      <c r="K420" t="s">
        <v>116</v>
      </c>
      <c r="L420" t="s">
        <v>118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</row>
    <row r="421" spans="1:92" x14ac:dyDescent="0.3">
      <c r="A421" s="20" t="s">
        <v>423</v>
      </c>
      <c r="B421" t="s">
        <v>108</v>
      </c>
      <c r="C421" t="s">
        <v>289</v>
      </c>
      <c r="D421">
        <v>136527</v>
      </c>
      <c r="E421" t="s">
        <v>290</v>
      </c>
      <c r="F421" t="s">
        <v>291</v>
      </c>
      <c r="G421" t="s">
        <v>112</v>
      </c>
      <c r="H421" t="s">
        <v>174</v>
      </c>
      <c r="I421" t="s">
        <v>114</v>
      </c>
      <c r="J421" t="s">
        <v>115</v>
      </c>
      <c r="K421" t="s">
        <v>116</v>
      </c>
      <c r="L421" t="s">
        <v>118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3</v>
      </c>
      <c r="AC421">
        <v>0</v>
      </c>
      <c r="AD421">
        <v>0</v>
      </c>
      <c r="AE421">
        <v>4</v>
      </c>
      <c r="AF421">
        <v>5</v>
      </c>
      <c r="AG421">
        <v>9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I421">
        <v>0</v>
      </c>
      <c r="CJ421">
        <v>0</v>
      </c>
      <c r="CK421">
        <v>0</v>
      </c>
      <c r="CL421">
        <v>4</v>
      </c>
      <c r="CM421">
        <v>5</v>
      </c>
      <c r="CN421">
        <v>9</v>
      </c>
    </row>
    <row r="422" spans="1:92" x14ac:dyDescent="0.3">
      <c r="A422" s="20" t="s">
        <v>423</v>
      </c>
      <c r="B422" t="s">
        <v>108</v>
      </c>
      <c r="C422" t="s">
        <v>289</v>
      </c>
      <c r="D422">
        <v>136528</v>
      </c>
      <c r="E422" t="s">
        <v>292</v>
      </c>
      <c r="F422" t="s">
        <v>293</v>
      </c>
      <c r="G422" t="s">
        <v>112</v>
      </c>
      <c r="H422" t="s">
        <v>133</v>
      </c>
      <c r="I422" t="s">
        <v>114</v>
      </c>
      <c r="J422" t="s">
        <v>115</v>
      </c>
      <c r="K422" t="s">
        <v>116</v>
      </c>
      <c r="L422" t="s">
        <v>118</v>
      </c>
      <c r="O422">
        <v>7</v>
      </c>
      <c r="P422">
        <v>12</v>
      </c>
      <c r="Q422">
        <v>11</v>
      </c>
      <c r="R422">
        <v>9</v>
      </c>
      <c r="S422">
        <v>14</v>
      </c>
      <c r="T422">
        <v>13</v>
      </c>
      <c r="U422">
        <v>25</v>
      </c>
      <c r="V422">
        <v>14</v>
      </c>
      <c r="W422">
        <v>33</v>
      </c>
      <c r="X422">
        <v>41</v>
      </c>
      <c r="Y422">
        <v>47</v>
      </c>
      <c r="Z422">
        <v>50</v>
      </c>
      <c r="AA422">
        <v>60</v>
      </c>
      <c r="AB422">
        <v>66</v>
      </c>
      <c r="AC422">
        <v>1</v>
      </c>
      <c r="AD422">
        <v>3</v>
      </c>
      <c r="AE422">
        <v>198</v>
      </c>
      <c r="AF422">
        <v>208</v>
      </c>
      <c r="AG422">
        <v>406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I422">
        <v>0</v>
      </c>
      <c r="CJ422">
        <v>0</v>
      </c>
      <c r="CK422">
        <v>0</v>
      </c>
      <c r="CL422">
        <v>198</v>
      </c>
      <c r="CM422">
        <v>208</v>
      </c>
      <c r="CN422">
        <v>406</v>
      </c>
    </row>
    <row r="423" spans="1:92" x14ac:dyDescent="0.3">
      <c r="A423" s="20" t="s">
        <v>423</v>
      </c>
      <c r="B423" t="s">
        <v>108</v>
      </c>
      <c r="C423" t="s">
        <v>289</v>
      </c>
      <c r="D423">
        <v>136529</v>
      </c>
      <c r="E423" t="s">
        <v>294</v>
      </c>
      <c r="F423" t="s">
        <v>295</v>
      </c>
      <c r="G423" t="s">
        <v>112</v>
      </c>
      <c r="H423" t="s">
        <v>113</v>
      </c>
      <c r="I423" t="s">
        <v>114</v>
      </c>
      <c r="J423" t="s">
        <v>115</v>
      </c>
      <c r="K423" t="s">
        <v>116</v>
      </c>
      <c r="L423" t="s">
        <v>118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</v>
      </c>
      <c r="X423">
        <v>2</v>
      </c>
      <c r="Y423">
        <v>6</v>
      </c>
      <c r="Z423">
        <v>4</v>
      </c>
      <c r="AA423">
        <v>0</v>
      </c>
      <c r="AB423">
        <v>0</v>
      </c>
      <c r="AC423">
        <v>1</v>
      </c>
      <c r="AD423">
        <v>0</v>
      </c>
      <c r="AE423">
        <v>9</v>
      </c>
      <c r="AF423">
        <v>6</v>
      </c>
      <c r="AG423">
        <v>15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I423">
        <v>0</v>
      </c>
      <c r="CJ423">
        <v>0</v>
      </c>
      <c r="CK423">
        <v>0</v>
      </c>
      <c r="CL423">
        <v>9</v>
      </c>
      <c r="CM423">
        <v>6</v>
      </c>
      <c r="CN423">
        <v>15</v>
      </c>
    </row>
    <row r="424" spans="1:92" x14ac:dyDescent="0.3">
      <c r="A424" s="20" t="s">
        <v>423</v>
      </c>
      <c r="B424" t="s">
        <v>108</v>
      </c>
      <c r="C424" t="s">
        <v>289</v>
      </c>
      <c r="D424">
        <v>136530</v>
      </c>
      <c r="E424" t="s">
        <v>296</v>
      </c>
      <c r="F424" t="s">
        <v>297</v>
      </c>
      <c r="G424" t="s">
        <v>112</v>
      </c>
      <c r="H424" t="s">
        <v>261</v>
      </c>
      <c r="I424" t="s">
        <v>114</v>
      </c>
      <c r="J424" t="s">
        <v>115</v>
      </c>
      <c r="K424" t="s">
        <v>116</v>
      </c>
      <c r="L424" t="s">
        <v>118</v>
      </c>
      <c r="O424">
        <v>0</v>
      </c>
      <c r="P424">
        <v>0</v>
      </c>
      <c r="Q424">
        <v>1</v>
      </c>
      <c r="R424">
        <v>3</v>
      </c>
      <c r="S424">
        <v>3</v>
      </c>
      <c r="T424">
        <v>1</v>
      </c>
      <c r="U424">
        <v>0</v>
      </c>
      <c r="V424">
        <v>1</v>
      </c>
      <c r="W424">
        <v>13</v>
      </c>
      <c r="X424">
        <v>6</v>
      </c>
      <c r="Y424">
        <v>0</v>
      </c>
      <c r="Z424">
        <v>3</v>
      </c>
      <c r="AA424">
        <v>2</v>
      </c>
      <c r="AB424">
        <v>3</v>
      </c>
      <c r="AC424">
        <v>0</v>
      </c>
      <c r="AD424">
        <v>0</v>
      </c>
      <c r="AE424">
        <v>19</v>
      </c>
      <c r="AF424">
        <v>17</v>
      </c>
      <c r="AG424">
        <v>36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I424">
        <v>0</v>
      </c>
      <c r="CJ424">
        <v>0</v>
      </c>
      <c r="CK424">
        <v>0</v>
      </c>
      <c r="CL424">
        <v>19</v>
      </c>
      <c r="CM424">
        <v>17</v>
      </c>
      <c r="CN424">
        <v>36</v>
      </c>
    </row>
    <row r="425" spans="1:92" x14ac:dyDescent="0.3">
      <c r="A425" s="20" t="s">
        <v>423</v>
      </c>
      <c r="B425" t="s">
        <v>108</v>
      </c>
      <c r="C425" t="s">
        <v>289</v>
      </c>
      <c r="D425">
        <v>136538</v>
      </c>
      <c r="E425" t="s">
        <v>298</v>
      </c>
      <c r="F425" t="s">
        <v>299</v>
      </c>
      <c r="G425" t="s">
        <v>112</v>
      </c>
      <c r="H425" t="s">
        <v>169</v>
      </c>
      <c r="I425" t="s">
        <v>114</v>
      </c>
      <c r="J425" t="s">
        <v>115</v>
      </c>
      <c r="K425" t="s">
        <v>116</v>
      </c>
      <c r="L425" t="s">
        <v>118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5</v>
      </c>
      <c r="Z425">
        <v>3</v>
      </c>
      <c r="AA425">
        <v>1</v>
      </c>
      <c r="AB425">
        <v>2</v>
      </c>
      <c r="AC425">
        <v>0</v>
      </c>
      <c r="AD425">
        <v>0</v>
      </c>
      <c r="AE425">
        <v>9</v>
      </c>
      <c r="AF425">
        <v>7</v>
      </c>
      <c r="AG425">
        <v>16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I425">
        <v>0</v>
      </c>
      <c r="CJ425">
        <v>0</v>
      </c>
      <c r="CK425">
        <v>0</v>
      </c>
      <c r="CL425">
        <v>9</v>
      </c>
      <c r="CM425">
        <v>7</v>
      </c>
      <c r="CN425">
        <v>16</v>
      </c>
    </row>
    <row r="426" spans="1:92" x14ac:dyDescent="0.3">
      <c r="A426" s="20" t="s">
        <v>423</v>
      </c>
      <c r="B426" t="s">
        <v>108</v>
      </c>
      <c r="C426" t="s">
        <v>289</v>
      </c>
      <c r="D426">
        <v>340697</v>
      </c>
      <c r="E426" t="s">
        <v>300</v>
      </c>
      <c r="F426" t="s">
        <v>301</v>
      </c>
      <c r="G426" t="s">
        <v>112</v>
      </c>
      <c r="H426" t="s">
        <v>133</v>
      </c>
      <c r="I426" t="s">
        <v>114</v>
      </c>
      <c r="J426" t="s">
        <v>115</v>
      </c>
      <c r="K426" t="s">
        <v>116</v>
      </c>
      <c r="L426" t="s">
        <v>118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</v>
      </c>
      <c r="AX426">
        <v>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5</v>
      </c>
      <c r="BF426">
        <v>3</v>
      </c>
      <c r="BG426">
        <v>0</v>
      </c>
      <c r="BH426">
        <v>0</v>
      </c>
      <c r="BI426">
        <v>0</v>
      </c>
      <c r="BJ426">
        <v>0</v>
      </c>
      <c r="BQ426">
        <v>0</v>
      </c>
      <c r="BR426">
        <v>0</v>
      </c>
      <c r="BS426">
        <v>0</v>
      </c>
      <c r="BT426">
        <v>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4</v>
      </c>
      <c r="CC426">
        <v>0</v>
      </c>
      <c r="CD426">
        <v>0</v>
      </c>
      <c r="CE426">
        <v>0</v>
      </c>
      <c r="CF426">
        <v>0</v>
      </c>
      <c r="CI426">
        <v>9</v>
      </c>
      <c r="CJ426">
        <v>11</v>
      </c>
      <c r="CK426">
        <v>20</v>
      </c>
      <c r="CL426">
        <v>9</v>
      </c>
      <c r="CM426">
        <v>11</v>
      </c>
      <c r="CN426">
        <v>20</v>
      </c>
    </row>
    <row r="427" spans="1:92" x14ac:dyDescent="0.3">
      <c r="A427" s="20" t="s">
        <v>423</v>
      </c>
      <c r="B427" t="s">
        <v>108</v>
      </c>
      <c r="C427" t="s">
        <v>289</v>
      </c>
      <c r="D427">
        <v>409329</v>
      </c>
      <c r="E427" t="s">
        <v>302</v>
      </c>
      <c r="F427" t="s">
        <v>303</v>
      </c>
      <c r="G427" t="s">
        <v>112</v>
      </c>
      <c r="H427" t="s">
        <v>217</v>
      </c>
      <c r="I427" t="s">
        <v>123</v>
      </c>
      <c r="J427" t="s">
        <v>124</v>
      </c>
      <c r="K427" t="s">
        <v>116</v>
      </c>
      <c r="L427" t="s">
        <v>118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</row>
    <row r="428" spans="1:92" x14ac:dyDescent="0.3">
      <c r="A428" s="20" t="s">
        <v>423</v>
      </c>
      <c r="B428" t="s">
        <v>108</v>
      </c>
      <c r="C428" t="s">
        <v>289</v>
      </c>
      <c r="D428">
        <v>409731</v>
      </c>
      <c r="E428" t="s">
        <v>304</v>
      </c>
      <c r="F428" t="s">
        <v>305</v>
      </c>
      <c r="G428" t="s">
        <v>112</v>
      </c>
      <c r="H428" t="s">
        <v>113</v>
      </c>
      <c r="I428" t="s">
        <v>123</v>
      </c>
      <c r="J428" t="s">
        <v>124</v>
      </c>
      <c r="K428" t="s">
        <v>116</v>
      </c>
      <c r="L428" t="s">
        <v>118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</row>
    <row r="429" spans="1:92" x14ac:dyDescent="0.3">
      <c r="A429" s="20" t="s">
        <v>423</v>
      </c>
      <c r="B429" t="s">
        <v>108</v>
      </c>
      <c r="C429" t="s">
        <v>289</v>
      </c>
      <c r="D429">
        <v>409737</v>
      </c>
      <c r="E429" t="s">
        <v>306</v>
      </c>
      <c r="F429" t="s">
        <v>307</v>
      </c>
      <c r="G429" t="s">
        <v>112</v>
      </c>
      <c r="H429" t="s">
        <v>133</v>
      </c>
      <c r="I429" t="s">
        <v>123</v>
      </c>
      <c r="J429" t="s">
        <v>124</v>
      </c>
      <c r="K429" t="s">
        <v>116</v>
      </c>
      <c r="L429" t="s">
        <v>118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3</v>
      </c>
      <c r="AV429">
        <v>7</v>
      </c>
      <c r="AW429">
        <v>6</v>
      </c>
      <c r="AX429">
        <v>6</v>
      </c>
      <c r="AY429">
        <v>4</v>
      </c>
      <c r="AZ429">
        <v>8</v>
      </c>
      <c r="BA429">
        <v>0</v>
      </c>
      <c r="BB429">
        <v>1</v>
      </c>
      <c r="BC429">
        <v>0</v>
      </c>
      <c r="BD429">
        <v>0</v>
      </c>
      <c r="BE429">
        <v>9</v>
      </c>
      <c r="BF429">
        <v>11</v>
      </c>
      <c r="BG429">
        <v>0</v>
      </c>
      <c r="BH429">
        <v>0</v>
      </c>
      <c r="BI429">
        <v>0</v>
      </c>
      <c r="BJ429">
        <v>0</v>
      </c>
      <c r="BQ429">
        <v>3</v>
      </c>
      <c r="BR429">
        <v>12</v>
      </c>
      <c r="BS429">
        <v>16</v>
      </c>
      <c r="BT429">
        <v>17</v>
      </c>
      <c r="BU429">
        <v>10</v>
      </c>
      <c r="BV429">
        <v>10</v>
      </c>
      <c r="BW429">
        <v>6</v>
      </c>
      <c r="BX429">
        <v>4</v>
      </c>
      <c r="BY429">
        <v>0</v>
      </c>
      <c r="BZ429">
        <v>0</v>
      </c>
      <c r="CA429">
        <v>11</v>
      </c>
      <c r="CB429">
        <v>11</v>
      </c>
      <c r="CC429">
        <v>0</v>
      </c>
      <c r="CD429">
        <v>0</v>
      </c>
      <c r="CE429">
        <v>0</v>
      </c>
      <c r="CF429">
        <v>0</v>
      </c>
      <c r="CI429">
        <v>68</v>
      </c>
      <c r="CJ429">
        <v>87</v>
      </c>
      <c r="CK429">
        <v>155</v>
      </c>
      <c r="CL429">
        <v>68</v>
      </c>
      <c r="CM429">
        <v>87</v>
      </c>
      <c r="CN429">
        <v>155</v>
      </c>
    </row>
    <row r="430" spans="1:92" x14ac:dyDescent="0.3">
      <c r="A430" s="20" t="s">
        <v>423</v>
      </c>
      <c r="B430" t="s">
        <v>108</v>
      </c>
      <c r="C430" t="s">
        <v>289</v>
      </c>
      <c r="D430">
        <v>482836</v>
      </c>
      <c r="E430" t="s">
        <v>310</v>
      </c>
      <c r="F430" t="s">
        <v>311</v>
      </c>
      <c r="G430" t="s">
        <v>112</v>
      </c>
      <c r="H430" t="s">
        <v>174</v>
      </c>
      <c r="I430" t="s">
        <v>123</v>
      </c>
      <c r="J430" t="s">
        <v>124</v>
      </c>
      <c r="K430" t="s">
        <v>116</v>
      </c>
      <c r="L430" t="s">
        <v>118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</row>
    <row r="431" spans="1:92" x14ac:dyDescent="0.3">
      <c r="A431" s="20" t="s">
        <v>423</v>
      </c>
      <c r="B431" t="s">
        <v>108</v>
      </c>
      <c r="C431" t="s">
        <v>289</v>
      </c>
      <c r="D431">
        <v>482887</v>
      </c>
      <c r="E431" t="s">
        <v>312</v>
      </c>
      <c r="F431" t="s">
        <v>313</v>
      </c>
      <c r="G431" t="s">
        <v>112</v>
      </c>
      <c r="H431" t="s">
        <v>113</v>
      </c>
      <c r="I431" t="s">
        <v>123</v>
      </c>
      <c r="J431" t="s">
        <v>124</v>
      </c>
      <c r="K431" t="s">
        <v>116</v>
      </c>
      <c r="L431" t="s">
        <v>118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</row>
    <row r="432" spans="1:92" x14ac:dyDescent="0.3">
      <c r="A432" s="20" t="s">
        <v>423</v>
      </c>
      <c r="B432" t="s">
        <v>108</v>
      </c>
      <c r="C432" t="s">
        <v>289</v>
      </c>
      <c r="D432">
        <v>482890</v>
      </c>
      <c r="E432" t="s">
        <v>316</v>
      </c>
      <c r="F432" t="s">
        <v>317</v>
      </c>
      <c r="G432" t="s">
        <v>112</v>
      </c>
      <c r="H432" t="s">
        <v>261</v>
      </c>
      <c r="I432" t="s">
        <v>123</v>
      </c>
      <c r="J432" t="s">
        <v>124</v>
      </c>
      <c r="K432" t="s">
        <v>116</v>
      </c>
      <c r="L432" t="s">
        <v>118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</row>
    <row r="433" spans="1:92" x14ac:dyDescent="0.3">
      <c r="A433" s="20" t="s">
        <v>423</v>
      </c>
      <c r="B433" t="s">
        <v>108</v>
      </c>
      <c r="C433" t="s">
        <v>289</v>
      </c>
      <c r="D433">
        <v>482963</v>
      </c>
      <c r="E433" t="s">
        <v>324</v>
      </c>
      <c r="F433" t="s">
        <v>325</v>
      </c>
      <c r="G433" t="s">
        <v>112</v>
      </c>
      <c r="H433" t="s">
        <v>113</v>
      </c>
      <c r="I433" t="s">
        <v>123</v>
      </c>
      <c r="J433" t="s">
        <v>124</v>
      </c>
      <c r="K433" t="s">
        <v>116</v>
      </c>
      <c r="L433" t="s">
        <v>118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</row>
    <row r="434" spans="1:92" x14ac:dyDescent="0.3">
      <c r="A434" s="20" t="s">
        <v>423</v>
      </c>
      <c r="B434" t="s">
        <v>108</v>
      </c>
      <c r="C434" t="s">
        <v>289</v>
      </c>
      <c r="D434">
        <v>482978</v>
      </c>
      <c r="E434" t="s">
        <v>326</v>
      </c>
      <c r="F434" t="s">
        <v>327</v>
      </c>
      <c r="G434" t="s">
        <v>112</v>
      </c>
      <c r="H434" t="s">
        <v>113</v>
      </c>
      <c r="I434" t="s">
        <v>123</v>
      </c>
      <c r="J434" t="s">
        <v>124</v>
      </c>
      <c r="K434" t="s">
        <v>116</v>
      </c>
      <c r="L434" t="s">
        <v>118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</row>
    <row r="435" spans="1:92" x14ac:dyDescent="0.3">
      <c r="A435" s="20" t="s">
        <v>423</v>
      </c>
      <c r="B435" t="s">
        <v>108</v>
      </c>
      <c r="C435" t="s">
        <v>289</v>
      </c>
      <c r="D435">
        <v>482980</v>
      </c>
      <c r="E435" t="s">
        <v>330</v>
      </c>
      <c r="F435" t="s">
        <v>331</v>
      </c>
      <c r="G435" t="s">
        <v>112</v>
      </c>
      <c r="H435" t="s">
        <v>133</v>
      </c>
      <c r="I435" t="s">
        <v>123</v>
      </c>
      <c r="J435" t="s">
        <v>124</v>
      </c>
      <c r="K435" t="s">
        <v>116</v>
      </c>
      <c r="L435" t="s">
        <v>118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</row>
    <row r="436" spans="1:92" x14ac:dyDescent="0.3">
      <c r="A436" s="20" t="s">
        <v>423</v>
      </c>
      <c r="B436" t="s">
        <v>108</v>
      </c>
      <c r="C436" t="s">
        <v>332</v>
      </c>
      <c r="D436">
        <v>136531</v>
      </c>
      <c r="E436" t="s">
        <v>333</v>
      </c>
      <c r="F436" t="s">
        <v>419</v>
      </c>
      <c r="G436" t="s">
        <v>112</v>
      </c>
      <c r="H436" t="s">
        <v>217</v>
      </c>
      <c r="I436" t="s">
        <v>114</v>
      </c>
      <c r="J436" t="s">
        <v>115</v>
      </c>
      <c r="K436" t="s">
        <v>116</v>
      </c>
      <c r="L436" t="s">
        <v>118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I436">
        <v>0</v>
      </c>
      <c r="CJ436">
        <v>0</v>
      </c>
      <c r="CK436">
        <v>0</v>
      </c>
      <c r="CL436">
        <v>2</v>
      </c>
      <c r="CM436">
        <v>0</v>
      </c>
      <c r="CN436">
        <v>2</v>
      </c>
    </row>
    <row r="437" spans="1:92" x14ac:dyDescent="0.3">
      <c r="A437" s="20" t="s">
        <v>423</v>
      </c>
      <c r="B437" t="s">
        <v>108</v>
      </c>
      <c r="C437" t="s">
        <v>332</v>
      </c>
      <c r="D437">
        <v>136532</v>
      </c>
      <c r="E437" t="s">
        <v>335</v>
      </c>
      <c r="F437" t="s">
        <v>336</v>
      </c>
      <c r="G437" t="s">
        <v>112</v>
      </c>
      <c r="H437" t="s">
        <v>122</v>
      </c>
      <c r="I437" t="s">
        <v>114</v>
      </c>
      <c r="J437" t="s">
        <v>115</v>
      </c>
      <c r="K437" t="s">
        <v>116</v>
      </c>
      <c r="L437" t="s">
        <v>118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</row>
    <row r="438" spans="1:92" x14ac:dyDescent="0.3">
      <c r="A438" s="20" t="s">
        <v>423</v>
      </c>
      <c r="B438" t="s">
        <v>108</v>
      </c>
      <c r="C438" t="s">
        <v>332</v>
      </c>
      <c r="D438">
        <v>136533</v>
      </c>
      <c r="E438" t="s">
        <v>337</v>
      </c>
      <c r="F438" t="s">
        <v>338</v>
      </c>
      <c r="G438" t="s">
        <v>112</v>
      </c>
      <c r="H438" t="s">
        <v>122</v>
      </c>
      <c r="I438" t="s">
        <v>114</v>
      </c>
      <c r="J438" t="s">
        <v>115</v>
      </c>
      <c r="K438" t="s">
        <v>116</v>
      </c>
      <c r="L438" t="s">
        <v>118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3</v>
      </c>
      <c r="V438">
        <v>2</v>
      </c>
      <c r="W438">
        <v>0</v>
      </c>
      <c r="X438">
        <v>0</v>
      </c>
      <c r="Y438">
        <v>0</v>
      </c>
      <c r="Z438">
        <v>2</v>
      </c>
      <c r="AA438">
        <v>2</v>
      </c>
      <c r="AB438">
        <v>6</v>
      </c>
      <c r="AC438">
        <v>0</v>
      </c>
      <c r="AD438">
        <v>0</v>
      </c>
      <c r="AE438">
        <v>5</v>
      </c>
      <c r="AF438">
        <v>11</v>
      </c>
      <c r="AG438">
        <v>16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I438">
        <v>0</v>
      </c>
      <c r="CJ438">
        <v>0</v>
      </c>
      <c r="CK438">
        <v>0</v>
      </c>
      <c r="CL438">
        <v>5</v>
      </c>
      <c r="CM438">
        <v>11</v>
      </c>
      <c r="CN438">
        <v>16</v>
      </c>
    </row>
    <row r="439" spans="1:92" x14ac:dyDescent="0.3">
      <c r="A439" s="20" t="s">
        <v>423</v>
      </c>
      <c r="B439" t="s">
        <v>108</v>
      </c>
      <c r="C439" t="s">
        <v>332</v>
      </c>
      <c r="D439">
        <v>136534</v>
      </c>
      <c r="E439" t="s">
        <v>339</v>
      </c>
      <c r="F439" t="s">
        <v>420</v>
      </c>
      <c r="G439" t="s">
        <v>112</v>
      </c>
      <c r="H439" t="s">
        <v>129</v>
      </c>
      <c r="I439" t="s">
        <v>114</v>
      </c>
      <c r="J439" t="s">
        <v>115</v>
      </c>
      <c r="K439" t="s">
        <v>116</v>
      </c>
      <c r="L439" t="s">
        <v>118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I439">
        <v>0</v>
      </c>
      <c r="CJ439">
        <v>0</v>
      </c>
      <c r="CK439">
        <v>0</v>
      </c>
      <c r="CL439">
        <v>1</v>
      </c>
      <c r="CM439">
        <v>0</v>
      </c>
      <c r="CN439">
        <v>1</v>
      </c>
    </row>
    <row r="440" spans="1:92" x14ac:dyDescent="0.3">
      <c r="A440" s="20" t="s">
        <v>423</v>
      </c>
      <c r="B440" t="s">
        <v>108</v>
      </c>
      <c r="C440" t="s">
        <v>332</v>
      </c>
      <c r="D440">
        <v>136535</v>
      </c>
      <c r="E440" t="s">
        <v>341</v>
      </c>
      <c r="F440" t="s">
        <v>342</v>
      </c>
      <c r="G440" t="s">
        <v>112</v>
      </c>
      <c r="H440" t="s">
        <v>186</v>
      </c>
      <c r="I440" t="s">
        <v>114</v>
      </c>
      <c r="J440" t="s">
        <v>115</v>
      </c>
      <c r="K440" t="s">
        <v>116</v>
      </c>
      <c r="L440" t="s">
        <v>118</v>
      </c>
      <c r="O440">
        <v>1</v>
      </c>
      <c r="P440">
        <v>0</v>
      </c>
      <c r="Q440">
        <v>0</v>
      </c>
      <c r="R440">
        <v>1</v>
      </c>
      <c r="S440">
        <v>2</v>
      </c>
      <c r="T440">
        <v>2</v>
      </c>
      <c r="U440">
        <v>2</v>
      </c>
      <c r="V440">
        <v>7</v>
      </c>
      <c r="W440">
        <v>3</v>
      </c>
      <c r="X440">
        <v>5</v>
      </c>
      <c r="Y440">
        <v>6</v>
      </c>
      <c r="Z440">
        <v>14</v>
      </c>
      <c r="AA440">
        <v>3</v>
      </c>
      <c r="AB440">
        <v>5</v>
      </c>
      <c r="AC440">
        <v>0</v>
      </c>
      <c r="AD440">
        <v>0</v>
      </c>
      <c r="AE440">
        <v>17</v>
      </c>
      <c r="AF440">
        <v>34</v>
      </c>
      <c r="AG440">
        <v>51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I440">
        <v>0</v>
      </c>
      <c r="CJ440">
        <v>0</v>
      </c>
      <c r="CK440">
        <v>0</v>
      </c>
      <c r="CL440">
        <v>17</v>
      </c>
      <c r="CM440">
        <v>34</v>
      </c>
      <c r="CN440">
        <v>51</v>
      </c>
    </row>
    <row r="441" spans="1:92" x14ac:dyDescent="0.3">
      <c r="A441" s="20" t="s">
        <v>423</v>
      </c>
      <c r="B441" t="s">
        <v>108</v>
      </c>
      <c r="C441" t="s">
        <v>332</v>
      </c>
      <c r="D441">
        <v>136536</v>
      </c>
      <c r="E441" t="s">
        <v>343</v>
      </c>
      <c r="F441" t="s">
        <v>344</v>
      </c>
      <c r="G441" t="s">
        <v>112</v>
      </c>
      <c r="H441" t="s">
        <v>217</v>
      </c>
      <c r="I441" t="s">
        <v>114</v>
      </c>
      <c r="J441" t="s">
        <v>115</v>
      </c>
      <c r="K441" t="s">
        <v>116</v>
      </c>
      <c r="L441" t="s">
        <v>118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2</v>
      </c>
      <c r="AB441">
        <v>2</v>
      </c>
      <c r="AC441">
        <v>0</v>
      </c>
      <c r="AD441">
        <v>0</v>
      </c>
      <c r="AE441">
        <v>4</v>
      </c>
      <c r="AF441">
        <v>2</v>
      </c>
      <c r="AG441">
        <v>6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I441">
        <v>0</v>
      </c>
      <c r="CJ441">
        <v>0</v>
      </c>
      <c r="CK441">
        <v>0</v>
      </c>
      <c r="CL441">
        <v>4</v>
      </c>
      <c r="CM441">
        <v>2</v>
      </c>
      <c r="CN441">
        <v>6</v>
      </c>
    </row>
    <row r="442" spans="1:92" x14ac:dyDescent="0.3">
      <c r="A442" s="20" t="s">
        <v>423</v>
      </c>
      <c r="B442" t="s">
        <v>108</v>
      </c>
      <c r="C442" t="s">
        <v>332</v>
      </c>
      <c r="D442">
        <v>136537</v>
      </c>
      <c r="E442" t="s">
        <v>345</v>
      </c>
      <c r="F442" t="s">
        <v>346</v>
      </c>
      <c r="G442" t="s">
        <v>112</v>
      </c>
      <c r="H442" t="s">
        <v>191</v>
      </c>
      <c r="I442" t="s">
        <v>114</v>
      </c>
      <c r="J442" t="s">
        <v>115</v>
      </c>
      <c r="K442" t="s">
        <v>116</v>
      </c>
      <c r="L442" t="s">
        <v>118</v>
      </c>
      <c r="O442">
        <v>1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6</v>
      </c>
      <c r="V442">
        <v>8</v>
      </c>
      <c r="W442">
        <v>1</v>
      </c>
      <c r="X442">
        <v>2</v>
      </c>
      <c r="Y442">
        <v>5</v>
      </c>
      <c r="Z442">
        <v>3</v>
      </c>
      <c r="AA442">
        <v>4</v>
      </c>
      <c r="AB442">
        <v>9</v>
      </c>
      <c r="AC442">
        <v>0</v>
      </c>
      <c r="AD442">
        <v>0</v>
      </c>
      <c r="AE442">
        <v>17</v>
      </c>
      <c r="AF442">
        <v>24</v>
      </c>
      <c r="AG442">
        <v>41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I442">
        <v>0</v>
      </c>
      <c r="CJ442">
        <v>0</v>
      </c>
      <c r="CK442">
        <v>0</v>
      </c>
      <c r="CL442">
        <v>17</v>
      </c>
      <c r="CM442">
        <v>24</v>
      </c>
      <c r="CN442">
        <v>41</v>
      </c>
    </row>
    <row r="443" spans="1:92" x14ac:dyDescent="0.3">
      <c r="A443" s="20" t="s">
        <v>423</v>
      </c>
      <c r="B443" t="s">
        <v>108</v>
      </c>
      <c r="C443" t="s">
        <v>332</v>
      </c>
      <c r="D443">
        <v>136543</v>
      </c>
      <c r="E443" t="s">
        <v>347</v>
      </c>
      <c r="F443" t="s">
        <v>411</v>
      </c>
      <c r="G443" t="s">
        <v>112</v>
      </c>
      <c r="H443" t="s">
        <v>136</v>
      </c>
      <c r="I443" t="s">
        <v>114</v>
      </c>
      <c r="J443" t="s">
        <v>115</v>
      </c>
      <c r="K443" t="s">
        <v>116</v>
      </c>
      <c r="L443" t="s">
        <v>118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2</v>
      </c>
      <c r="U443">
        <v>4</v>
      </c>
      <c r="V443">
        <v>2</v>
      </c>
      <c r="W443">
        <v>11</v>
      </c>
      <c r="X443">
        <v>6</v>
      </c>
      <c r="Y443">
        <v>4</v>
      </c>
      <c r="Z443">
        <v>2</v>
      </c>
      <c r="AA443">
        <v>0</v>
      </c>
      <c r="AB443">
        <v>0</v>
      </c>
      <c r="AC443">
        <v>1</v>
      </c>
      <c r="AD443">
        <v>0</v>
      </c>
      <c r="AE443">
        <v>21</v>
      </c>
      <c r="AF443">
        <v>13</v>
      </c>
      <c r="AG443">
        <v>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I443">
        <v>0</v>
      </c>
      <c r="CJ443">
        <v>0</v>
      </c>
      <c r="CK443">
        <v>0</v>
      </c>
      <c r="CL443">
        <v>21</v>
      </c>
      <c r="CM443">
        <v>13</v>
      </c>
      <c r="CN443">
        <v>34</v>
      </c>
    </row>
    <row r="444" spans="1:92" x14ac:dyDescent="0.3">
      <c r="A444" s="20" t="s">
        <v>423</v>
      </c>
      <c r="B444" t="s">
        <v>108</v>
      </c>
      <c r="C444" t="s">
        <v>332</v>
      </c>
      <c r="D444">
        <v>222501</v>
      </c>
      <c r="E444" t="s">
        <v>349</v>
      </c>
      <c r="F444" t="s">
        <v>350</v>
      </c>
      <c r="G444" t="s">
        <v>112</v>
      </c>
      <c r="H444" t="s">
        <v>351</v>
      </c>
      <c r="I444" t="s">
        <v>114</v>
      </c>
      <c r="J444" t="s">
        <v>115</v>
      </c>
      <c r="K444" t="s">
        <v>116</v>
      </c>
      <c r="L444" t="s">
        <v>118</v>
      </c>
      <c r="O444">
        <v>5</v>
      </c>
      <c r="P444">
        <v>6</v>
      </c>
      <c r="Q444">
        <v>1</v>
      </c>
      <c r="R444">
        <v>0</v>
      </c>
      <c r="S444">
        <v>4</v>
      </c>
      <c r="T444">
        <v>5</v>
      </c>
      <c r="U444">
        <v>2</v>
      </c>
      <c r="V444">
        <v>2</v>
      </c>
      <c r="W444">
        <v>1</v>
      </c>
      <c r="X444">
        <v>2</v>
      </c>
      <c r="Y444">
        <v>0</v>
      </c>
      <c r="Z444">
        <v>0</v>
      </c>
      <c r="AA444">
        <v>3</v>
      </c>
      <c r="AB444">
        <v>0</v>
      </c>
      <c r="AC444">
        <v>0</v>
      </c>
      <c r="AD444">
        <v>0</v>
      </c>
      <c r="AE444">
        <v>16</v>
      </c>
      <c r="AF444">
        <v>15</v>
      </c>
      <c r="AG444">
        <v>31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I444">
        <v>0</v>
      </c>
      <c r="CJ444">
        <v>0</v>
      </c>
      <c r="CK444">
        <v>0</v>
      </c>
      <c r="CL444">
        <v>16</v>
      </c>
      <c r="CM444">
        <v>15</v>
      </c>
      <c r="CN444">
        <v>31</v>
      </c>
    </row>
    <row r="445" spans="1:92" x14ac:dyDescent="0.3">
      <c r="A445" s="20" t="s">
        <v>423</v>
      </c>
      <c r="B445" t="s">
        <v>108</v>
      </c>
      <c r="C445" t="s">
        <v>332</v>
      </c>
      <c r="D445">
        <v>305635</v>
      </c>
      <c r="E445" t="s">
        <v>352</v>
      </c>
      <c r="F445" t="s">
        <v>412</v>
      </c>
      <c r="G445" t="s">
        <v>112</v>
      </c>
      <c r="H445" t="s">
        <v>136</v>
      </c>
      <c r="I445" t="s">
        <v>114</v>
      </c>
      <c r="J445" t="s">
        <v>115</v>
      </c>
      <c r="K445" t="s">
        <v>116</v>
      </c>
      <c r="L445" t="s">
        <v>118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</v>
      </c>
      <c r="AT445">
        <v>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I445">
        <v>0</v>
      </c>
      <c r="CJ445">
        <v>0</v>
      </c>
      <c r="CK445">
        <v>0</v>
      </c>
      <c r="CL445">
        <v>0</v>
      </c>
      <c r="CM445">
        <v>2</v>
      </c>
      <c r="CN445">
        <v>2</v>
      </c>
    </row>
    <row r="446" spans="1:92" x14ac:dyDescent="0.3">
      <c r="A446" s="20" t="s">
        <v>423</v>
      </c>
      <c r="B446" t="s">
        <v>108</v>
      </c>
      <c r="C446" t="s">
        <v>332</v>
      </c>
      <c r="D446">
        <v>406492</v>
      </c>
      <c r="E446" t="s">
        <v>354</v>
      </c>
      <c r="F446" t="s">
        <v>355</v>
      </c>
      <c r="G446" t="s">
        <v>112</v>
      </c>
      <c r="H446" t="s">
        <v>122</v>
      </c>
      <c r="I446" t="s">
        <v>123</v>
      </c>
      <c r="J446" t="s">
        <v>124</v>
      </c>
      <c r="K446" t="s">
        <v>116</v>
      </c>
      <c r="L446" t="s">
        <v>118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2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I446">
        <v>1</v>
      </c>
      <c r="CJ446">
        <v>4</v>
      </c>
      <c r="CK446">
        <v>5</v>
      </c>
      <c r="CL446">
        <v>1</v>
      </c>
      <c r="CM446">
        <v>4</v>
      </c>
      <c r="CN446">
        <v>5</v>
      </c>
    </row>
    <row r="447" spans="1:92" x14ac:dyDescent="0.3">
      <c r="A447" s="20" t="s">
        <v>423</v>
      </c>
      <c r="B447" t="s">
        <v>108</v>
      </c>
      <c r="C447" t="s">
        <v>332</v>
      </c>
      <c r="D447">
        <v>408390</v>
      </c>
      <c r="E447" t="s">
        <v>356</v>
      </c>
      <c r="F447" t="s">
        <v>460</v>
      </c>
      <c r="G447" t="s">
        <v>112</v>
      </c>
      <c r="H447" t="s">
        <v>136</v>
      </c>
      <c r="I447" t="s">
        <v>123</v>
      </c>
      <c r="J447" t="s">
        <v>124</v>
      </c>
      <c r="K447" t="s">
        <v>116</v>
      </c>
      <c r="L447" t="s">
        <v>118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</row>
    <row r="448" spans="1:92" x14ac:dyDescent="0.3">
      <c r="A448" s="20" t="s">
        <v>423</v>
      </c>
      <c r="B448" t="s">
        <v>108</v>
      </c>
      <c r="C448" t="s">
        <v>332</v>
      </c>
      <c r="D448">
        <v>408616</v>
      </c>
      <c r="E448" t="s">
        <v>358</v>
      </c>
      <c r="F448" t="s">
        <v>359</v>
      </c>
      <c r="G448" t="s">
        <v>112</v>
      </c>
      <c r="H448" t="s">
        <v>186</v>
      </c>
      <c r="I448" t="s">
        <v>123</v>
      </c>
      <c r="J448" t="s">
        <v>124</v>
      </c>
      <c r="K448" t="s">
        <v>116</v>
      </c>
      <c r="L448" t="s">
        <v>118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</row>
    <row r="449" spans="1:92" x14ac:dyDescent="0.3">
      <c r="A449" s="20" t="s">
        <v>423</v>
      </c>
      <c r="B449" t="s">
        <v>108</v>
      </c>
      <c r="C449" t="s">
        <v>332</v>
      </c>
      <c r="D449">
        <v>408783</v>
      </c>
      <c r="E449" t="s">
        <v>360</v>
      </c>
      <c r="F449" t="s">
        <v>361</v>
      </c>
      <c r="G449" t="s">
        <v>112</v>
      </c>
      <c r="H449" t="s">
        <v>136</v>
      </c>
      <c r="I449" t="s">
        <v>123</v>
      </c>
      <c r="J449" t="s">
        <v>124</v>
      </c>
      <c r="K449" t="s">
        <v>116</v>
      </c>
      <c r="L449" t="s">
        <v>118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</row>
    <row r="450" spans="1:92" x14ac:dyDescent="0.3">
      <c r="A450" s="20" t="s">
        <v>423</v>
      </c>
      <c r="B450" t="s">
        <v>108</v>
      </c>
      <c r="C450" t="s">
        <v>332</v>
      </c>
      <c r="D450">
        <v>408809</v>
      </c>
      <c r="E450" t="s">
        <v>362</v>
      </c>
      <c r="F450" t="s">
        <v>363</v>
      </c>
      <c r="G450" t="s">
        <v>112</v>
      </c>
      <c r="H450" t="s">
        <v>136</v>
      </c>
      <c r="I450" t="s">
        <v>123</v>
      </c>
      <c r="J450" t="s">
        <v>124</v>
      </c>
      <c r="K450" t="s">
        <v>116</v>
      </c>
      <c r="L450" t="s">
        <v>118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</row>
    <row r="451" spans="1:92" x14ac:dyDescent="0.3">
      <c r="A451" s="20" t="s">
        <v>423</v>
      </c>
      <c r="B451" t="s">
        <v>108</v>
      </c>
      <c r="C451" t="s">
        <v>332</v>
      </c>
      <c r="D451">
        <v>408851</v>
      </c>
      <c r="E451" t="s">
        <v>364</v>
      </c>
      <c r="F451" t="s">
        <v>365</v>
      </c>
      <c r="G451" t="s">
        <v>112</v>
      </c>
      <c r="H451" t="s">
        <v>122</v>
      </c>
      <c r="I451" t="s">
        <v>123</v>
      </c>
      <c r="J451" t="s">
        <v>124</v>
      </c>
      <c r="K451" t="s">
        <v>116</v>
      </c>
      <c r="L451" t="s">
        <v>118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2</v>
      </c>
      <c r="AX451">
        <v>5</v>
      </c>
      <c r="AY451">
        <v>1</v>
      </c>
      <c r="AZ451">
        <v>6</v>
      </c>
      <c r="BA451">
        <v>0</v>
      </c>
      <c r="BB451">
        <v>1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Q451">
        <v>0</v>
      </c>
      <c r="BR451">
        <v>1</v>
      </c>
      <c r="BS451">
        <v>6</v>
      </c>
      <c r="BT451">
        <v>11</v>
      </c>
      <c r="BU451">
        <v>4</v>
      </c>
      <c r="BV451">
        <v>11</v>
      </c>
      <c r="BW451">
        <v>0</v>
      </c>
      <c r="BX451">
        <v>0</v>
      </c>
      <c r="BY451">
        <v>0</v>
      </c>
      <c r="BZ451">
        <v>0</v>
      </c>
      <c r="CA451">
        <v>3</v>
      </c>
      <c r="CB451">
        <v>2</v>
      </c>
      <c r="CC451">
        <v>0</v>
      </c>
      <c r="CD451">
        <v>0</v>
      </c>
      <c r="CE451">
        <v>0</v>
      </c>
      <c r="CF451">
        <v>0</v>
      </c>
      <c r="CI451">
        <v>17</v>
      </c>
      <c r="CJ451">
        <v>38</v>
      </c>
      <c r="CK451">
        <v>55</v>
      </c>
      <c r="CL451">
        <v>17</v>
      </c>
      <c r="CM451">
        <v>38</v>
      </c>
      <c r="CN451">
        <v>55</v>
      </c>
    </row>
    <row r="452" spans="1:92" x14ac:dyDescent="0.3">
      <c r="A452" s="20" t="s">
        <v>423</v>
      </c>
      <c r="B452" t="s">
        <v>108</v>
      </c>
      <c r="C452" t="s">
        <v>332</v>
      </c>
      <c r="D452">
        <v>409734</v>
      </c>
      <c r="E452" t="s">
        <v>366</v>
      </c>
      <c r="F452" t="s">
        <v>367</v>
      </c>
      <c r="G452" t="s">
        <v>112</v>
      </c>
      <c r="H452" t="s">
        <v>186</v>
      </c>
      <c r="I452" t="s">
        <v>123</v>
      </c>
      <c r="J452" t="s">
        <v>124</v>
      </c>
      <c r="K452" t="s">
        <v>116</v>
      </c>
      <c r="L452" t="s">
        <v>118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I452">
        <v>0</v>
      </c>
      <c r="CJ452">
        <v>1</v>
      </c>
      <c r="CK452">
        <v>1</v>
      </c>
      <c r="CL452">
        <v>0</v>
      </c>
      <c r="CM452">
        <v>1</v>
      </c>
      <c r="CN452">
        <v>1</v>
      </c>
    </row>
    <row r="453" spans="1:92" x14ac:dyDescent="0.3">
      <c r="A453" s="20" t="s">
        <v>423</v>
      </c>
      <c r="B453" t="s">
        <v>108</v>
      </c>
      <c r="C453" t="s">
        <v>332</v>
      </c>
      <c r="D453">
        <v>409888</v>
      </c>
      <c r="E453" t="s">
        <v>368</v>
      </c>
      <c r="F453" t="s">
        <v>369</v>
      </c>
      <c r="G453" t="s">
        <v>112</v>
      </c>
      <c r="H453" t="s">
        <v>136</v>
      </c>
      <c r="I453" t="s">
        <v>123</v>
      </c>
      <c r="J453" t="s">
        <v>124</v>
      </c>
      <c r="K453" t="s">
        <v>116</v>
      </c>
      <c r="L453" t="s">
        <v>118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</row>
    <row r="454" spans="1:92" x14ac:dyDescent="0.3">
      <c r="A454" s="20" t="s">
        <v>423</v>
      </c>
      <c r="B454" t="s">
        <v>108</v>
      </c>
      <c r="C454" t="s">
        <v>332</v>
      </c>
      <c r="D454">
        <v>482709</v>
      </c>
      <c r="E454" t="s">
        <v>374</v>
      </c>
      <c r="F454" t="s">
        <v>375</v>
      </c>
      <c r="G454" t="s">
        <v>112</v>
      </c>
      <c r="H454" t="s">
        <v>147</v>
      </c>
      <c r="I454" t="s">
        <v>123</v>
      </c>
      <c r="J454" t="s">
        <v>124</v>
      </c>
      <c r="K454" t="s">
        <v>116</v>
      </c>
      <c r="L454" t="s">
        <v>118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</row>
    <row r="455" spans="1:92" x14ac:dyDescent="0.3">
      <c r="A455" s="20" t="s">
        <v>423</v>
      </c>
      <c r="B455" t="s">
        <v>108</v>
      </c>
      <c r="C455" t="s">
        <v>332</v>
      </c>
      <c r="D455">
        <v>482716</v>
      </c>
      <c r="E455" t="s">
        <v>376</v>
      </c>
      <c r="F455" t="s">
        <v>377</v>
      </c>
      <c r="G455" t="s">
        <v>112</v>
      </c>
      <c r="H455" t="s">
        <v>129</v>
      </c>
      <c r="I455" t="s">
        <v>123</v>
      </c>
      <c r="J455" t="s">
        <v>124</v>
      </c>
      <c r="K455" t="s">
        <v>116</v>
      </c>
      <c r="L455" t="s">
        <v>118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</row>
    <row r="456" spans="1:92" x14ac:dyDescent="0.3">
      <c r="A456" s="20" t="s">
        <v>423</v>
      </c>
      <c r="B456" t="s">
        <v>108</v>
      </c>
      <c r="C456" t="s">
        <v>332</v>
      </c>
      <c r="D456">
        <v>482891</v>
      </c>
      <c r="E456" t="s">
        <v>380</v>
      </c>
      <c r="F456" t="s">
        <v>381</v>
      </c>
      <c r="G456" t="s">
        <v>112</v>
      </c>
      <c r="H456" t="s">
        <v>191</v>
      </c>
      <c r="I456" t="s">
        <v>123</v>
      </c>
      <c r="J456" t="s">
        <v>124</v>
      </c>
      <c r="K456" t="s">
        <v>116</v>
      </c>
      <c r="L456" t="s">
        <v>118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</row>
    <row r="457" spans="1:92" x14ac:dyDescent="0.3">
      <c r="A457" s="20" t="s">
        <v>423</v>
      </c>
      <c r="B457" t="s">
        <v>108</v>
      </c>
      <c r="C457" t="s">
        <v>332</v>
      </c>
      <c r="D457">
        <v>482971</v>
      </c>
      <c r="E457" t="s">
        <v>390</v>
      </c>
      <c r="F457" t="s">
        <v>461</v>
      </c>
      <c r="G457" t="s">
        <v>112</v>
      </c>
      <c r="H457" t="s">
        <v>136</v>
      </c>
      <c r="I457" t="s">
        <v>123</v>
      </c>
      <c r="J457" t="s">
        <v>124</v>
      </c>
      <c r="K457" t="s">
        <v>116</v>
      </c>
      <c r="L457" t="s">
        <v>118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14</v>
      </c>
      <c r="AV457">
        <v>34</v>
      </c>
      <c r="AW457">
        <v>56</v>
      </c>
      <c r="AX457">
        <v>54</v>
      </c>
      <c r="AY457">
        <v>22</v>
      </c>
      <c r="AZ457">
        <v>21</v>
      </c>
      <c r="BA457">
        <v>5</v>
      </c>
      <c r="BB457">
        <v>6</v>
      </c>
      <c r="BC457">
        <v>0</v>
      </c>
      <c r="BD457">
        <v>0</v>
      </c>
      <c r="BE457">
        <v>52</v>
      </c>
      <c r="BF457">
        <v>55</v>
      </c>
      <c r="BG457">
        <v>0</v>
      </c>
      <c r="BH457">
        <v>0</v>
      </c>
      <c r="BI457">
        <v>0</v>
      </c>
      <c r="BJ457">
        <v>0</v>
      </c>
      <c r="BQ457">
        <v>0</v>
      </c>
      <c r="BR457">
        <v>6</v>
      </c>
      <c r="BS457">
        <v>8</v>
      </c>
      <c r="BT457">
        <v>11</v>
      </c>
      <c r="BU457">
        <v>3</v>
      </c>
      <c r="BV457">
        <v>4</v>
      </c>
      <c r="BW457">
        <v>4</v>
      </c>
      <c r="BX457">
        <v>3</v>
      </c>
      <c r="BY457">
        <v>0</v>
      </c>
      <c r="BZ457">
        <v>0</v>
      </c>
      <c r="CA457">
        <v>8</v>
      </c>
      <c r="CB457">
        <v>7</v>
      </c>
      <c r="CC457">
        <v>0</v>
      </c>
      <c r="CD457">
        <v>0</v>
      </c>
      <c r="CE457">
        <v>0</v>
      </c>
      <c r="CF457">
        <v>0</v>
      </c>
      <c r="CI457">
        <v>172</v>
      </c>
      <c r="CJ457">
        <v>201</v>
      </c>
      <c r="CK457">
        <v>373</v>
      </c>
      <c r="CL457">
        <v>172</v>
      </c>
      <c r="CM457">
        <v>201</v>
      </c>
      <c r="CN457">
        <v>373</v>
      </c>
    </row>
    <row r="458" spans="1:92" x14ac:dyDescent="0.3">
      <c r="A458" s="20" t="s">
        <v>423</v>
      </c>
      <c r="B458" t="s">
        <v>108</v>
      </c>
      <c r="C458" t="s">
        <v>332</v>
      </c>
      <c r="D458">
        <v>482987</v>
      </c>
      <c r="E458" t="s">
        <v>462</v>
      </c>
      <c r="F458" t="s">
        <v>463</v>
      </c>
      <c r="G458" t="s">
        <v>112</v>
      </c>
      <c r="H458" t="s">
        <v>191</v>
      </c>
      <c r="I458" t="s">
        <v>123</v>
      </c>
      <c r="J458" t="s">
        <v>124</v>
      </c>
      <c r="K458" t="s">
        <v>116</v>
      </c>
      <c r="L458" t="s">
        <v>118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Q458">
        <v>0</v>
      </c>
      <c r="BR458">
        <v>0</v>
      </c>
      <c r="BS458">
        <v>0</v>
      </c>
      <c r="BT458">
        <v>0</v>
      </c>
      <c r="BU458">
        <v>2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I458">
        <v>2</v>
      </c>
      <c r="CJ458">
        <v>2</v>
      </c>
      <c r="CK458">
        <v>4</v>
      </c>
      <c r="CL458">
        <v>2</v>
      </c>
      <c r="CM458">
        <v>2</v>
      </c>
      <c r="CN458">
        <v>4</v>
      </c>
    </row>
    <row r="459" spans="1:92" x14ac:dyDescent="0.3">
      <c r="A459" s="20" t="s">
        <v>423</v>
      </c>
      <c r="B459" t="s">
        <v>108</v>
      </c>
      <c r="C459" t="s">
        <v>394</v>
      </c>
      <c r="D459">
        <v>360867</v>
      </c>
      <c r="E459" t="s">
        <v>395</v>
      </c>
      <c r="F459" t="s">
        <v>338</v>
      </c>
      <c r="G459" t="s">
        <v>112</v>
      </c>
      <c r="H459" t="s">
        <v>122</v>
      </c>
      <c r="I459" t="s">
        <v>114</v>
      </c>
      <c r="J459" t="s">
        <v>115</v>
      </c>
      <c r="K459" t="s">
        <v>116</v>
      </c>
      <c r="L459" t="s">
        <v>118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1</v>
      </c>
      <c r="AU459">
        <v>0</v>
      </c>
      <c r="AV459">
        <v>1</v>
      </c>
      <c r="AW459">
        <v>2</v>
      </c>
      <c r="AX459">
        <v>7</v>
      </c>
      <c r="AY459">
        <v>1</v>
      </c>
      <c r="AZ459">
        <v>2</v>
      </c>
      <c r="BA459">
        <v>0</v>
      </c>
      <c r="BB459">
        <v>4</v>
      </c>
      <c r="BC459">
        <v>0</v>
      </c>
      <c r="BD459">
        <v>0</v>
      </c>
      <c r="BE459">
        <v>3</v>
      </c>
      <c r="BF459">
        <v>4</v>
      </c>
      <c r="BG459">
        <v>0</v>
      </c>
      <c r="BH459">
        <v>0</v>
      </c>
      <c r="BI459">
        <v>0</v>
      </c>
      <c r="BJ459">
        <v>0</v>
      </c>
      <c r="BQ459">
        <v>0</v>
      </c>
      <c r="BR459">
        <v>3</v>
      </c>
      <c r="BS459">
        <v>2</v>
      </c>
      <c r="BT459">
        <v>4</v>
      </c>
      <c r="BU459">
        <v>3</v>
      </c>
      <c r="BV459">
        <v>1</v>
      </c>
      <c r="BW459">
        <v>5</v>
      </c>
      <c r="BX459">
        <v>4</v>
      </c>
      <c r="BY459">
        <v>0</v>
      </c>
      <c r="BZ459">
        <v>0</v>
      </c>
      <c r="CA459">
        <v>5</v>
      </c>
      <c r="CB459">
        <v>0</v>
      </c>
      <c r="CC459">
        <v>0</v>
      </c>
      <c r="CD459">
        <v>0</v>
      </c>
      <c r="CE459">
        <v>0</v>
      </c>
      <c r="CF459">
        <v>0</v>
      </c>
      <c r="CI459">
        <v>21</v>
      </c>
      <c r="CJ459">
        <v>30</v>
      </c>
      <c r="CK459">
        <v>51</v>
      </c>
      <c r="CL459">
        <v>22</v>
      </c>
      <c r="CM459">
        <v>30</v>
      </c>
      <c r="CN459">
        <v>52</v>
      </c>
    </row>
    <row r="460" spans="1:92" x14ac:dyDescent="0.3">
      <c r="A460" s="22" t="s">
        <v>465</v>
      </c>
      <c r="B460" t="s">
        <v>108</v>
      </c>
      <c r="C460" t="s">
        <v>109</v>
      </c>
      <c r="D460">
        <v>340690</v>
      </c>
      <c r="E460" t="s">
        <v>110</v>
      </c>
      <c r="F460" t="s">
        <v>111</v>
      </c>
      <c r="G460" t="s">
        <v>112</v>
      </c>
      <c r="H460" t="s">
        <v>113</v>
      </c>
      <c r="I460" t="s">
        <v>114</v>
      </c>
      <c r="J460" t="s">
        <v>115</v>
      </c>
      <c r="N460" s="17" t="s">
        <v>119</v>
      </c>
      <c r="AE460">
        <v>0</v>
      </c>
      <c r="AF460">
        <v>0</v>
      </c>
      <c r="AG460">
        <v>0</v>
      </c>
      <c r="AR460">
        <v>0</v>
      </c>
      <c r="AS460">
        <v>0</v>
      </c>
      <c r="AT460">
        <v>0</v>
      </c>
      <c r="AU460">
        <v>0</v>
      </c>
      <c r="AV460">
        <v>7</v>
      </c>
      <c r="AW460">
        <v>7</v>
      </c>
      <c r="AX460">
        <v>16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14</v>
      </c>
      <c r="BF460">
        <v>13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Q460">
        <v>2</v>
      </c>
      <c r="BR460">
        <v>1</v>
      </c>
      <c r="BS460">
        <v>3</v>
      </c>
      <c r="BT460">
        <v>9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9</v>
      </c>
      <c r="CB460">
        <v>9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35</v>
      </c>
      <c r="CJ460">
        <v>55</v>
      </c>
      <c r="CK460">
        <v>90</v>
      </c>
      <c r="CL460">
        <v>35</v>
      </c>
      <c r="CM460">
        <v>55</v>
      </c>
      <c r="CN460">
        <v>90</v>
      </c>
    </row>
    <row r="461" spans="1:92" x14ac:dyDescent="0.3">
      <c r="A461" s="22" t="s">
        <v>465</v>
      </c>
      <c r="B461" t="s">
        <v>108</v>
      </c>
      <c r="C461" t="s">
        <v>109</v>
      </c>
      <c r="D461">
        <v>401453</v>
      </c>
      <c r="E461" t="s">
        <v>120</v>
      </c>
      <c r="F461" t="s">
        <v>121</v>
      </c>
      <c r="G461" t="s">
        <v>112</v>
      </c>
      <c r="H461" t="s">
        <v>122</v>
      </c>
      <c r="I461" t="s">
        <v>123</v>
      </c>
      <c r="J461" t="s">
        <v>124</v>
      </c>
      <c r="N461" s="17" t="s">
        <v>126</v>
      </c>
      <c r="AE461">
        <v>0</v>
      </c>
      <c r="AF461">
        <v>0</v>
      </c>
      <c r="AG461">
        <v>0</v>
      </c>
      <c r="AR461">
        <v>0</v>
      </c>
      <c r="AS461">
        <v>0</v>
      </c>
      <c r="AT461">
        <v>0</v>
      </c>
      <c r="AU461">
        <v>0</v>
      </c>
      <c r="AV461">
        <v>7</v>
      </c>
      <c r="AW461">
        <v>7</v>
      </c>
      <c r="AX461">
        <v>11</v>
      </c>
      <c r="AY461">
        <v>2</v>
      </c>
      <c r="AZ461">
        <v>7</v>
      </c>
      <c r="BA461">
        <v>3</v>
      </c>
      <c r="BB461">
        <v>2</v>
      </c>
      <c r="BC461">
        <v>0</v>
      </c>
      <c r="BD461">
        <v>0</v>
      </c>
      <c r="BE461">
        <v>5</v>
      </c>
      <c r="BF461">
        <v>3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Q461">
        <v>9</v>
      </c>
      <c r="BR461">
        <v>15</v>
      </c>
      <c r="BS461">
        <v>28</v>
      </c>
      <c r="BT461">
        <v>24</v>
      </c>
      <c r="BU461">
        <v>15</v>
      </c>
      <c r="BV461">
        <v>16</v>
      </c>
      <c r="BW461">
        <v>6</v>
      </c>
      <c r="BX461">
        <v>4</v>
      </c>
      <c r="BY461">
        <v>0</v>
      </c>
      <c r="BZ461">
        <v>1</v>
      </c>
      <c r="CA461">
        <v>29</v>
      </c>
      <c r="CB461">
        <v>12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104</v>
      </c>
      <c r="CJ461">
        <v>102</v>
      </c>
      <c r="CK461">
        <v>206</v>
      </c>
      <c r="CL461">
        <v>104</v>
      </c>
      <c r="CM461">
        <v>102</v>
      </c>
      <c r="CN461">
        <v>206</v>
      </c>
    </row>
    <row r="462" spans="1:92" x14ac:dyDescent="0.3">
      <c r="A462" s="22" t="s">
        <v>465</v>
      </c>
      <c r="B462" t="s">
        <v>108</v>
      </c>
      <c r="C462" t="s">
        <v>109</v>
      </c>
      <c r="D462">
        <v>401486</v>
      </c>
      <c r="E462" t="s">
        <v>364</v>
      </c>
      <c r="F462" t="s">
        <v>176</v>
      </c>
      <c r="G462" t="s">
        <v>112</v>
      </c>
      <c r="H462" t="s">
        <v>174</v>
      </c>
      <c r="I462" t="s">
        <v>123</v>
      </c>
      <c r="J462" t="s">
        <v>124</v>
      </c>
      <c r="N462" s="17" t="s">
        <v>126</v>
      </c>
      <c r="AE462">
        <v>0</v>
      </c>
      <c r="AF462">
        <v>0</v>
      </c>
      <c r="AG462">
        <v>0</v>
      </c>
      <c r="AR462">
        <v>0</v>
      </c>
      <c r="AS462">
        <v>0</v>
      </c>
      <c r="AT462">
        <v>0</v>
      </c>
      <c r="AU462">
        <v>1</v>
      </c>
      <c r="AV462">
        <v>4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5</v>
      </c>
      <c r="BC462">
        <v>0</v>
      </c>
      <c r="BD462">
        <v>0</v>
      </c>
      <c r="BE462">
        <v>11</v>
      </c>
      <c r="BF462">
        <v>17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Q462">
        <v>1</v>
      </c>
      <c r="BR462">
        <v>2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4</v>
      </c>
      <c r="BY462">
        <v>0</v>
      </c>
      <c r="BZ462">
        <v>0</v>
      </c>
      <c r="CA462">
        <v>6</v>
      </c>
      <c r="CB462">
        <v>10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21</v>
      </c>
      <c r="CJ462">
        <v>42</v>
      </c>
      <c r="CK462">
        <v>63</v>
      </c>
      <c r="CL462">
        <v>21</v>
      </c>
      <c r="CM462">
        <v>42</v>
      </c>
      <c r="CN462">
        <v>63</v>
      </c>
    </row>
    <row r="463" spans="1:92" x14ac:dyDescent="0.3">
      <c r="A463" s="22" t="s">
        <v>465</v>
      </c>
      <c r="B463" t="s">
        <v>108</v>
      </c>
      <c r="C463" t="s">
        <v>109</v>
      </c>
      <c r="D463">
        <v>401495</v>
      </c>
      <c r="E463" t="s">
        <v>127</v>
      </c>
      <c r="F463" t="s">
        <v>128</v>
      </c>
      <c r="G463" t="s">
        <v>112</v>
      </c>
      <c r="H463" t="s">
        <v>129</v>
      </c>
      <c r="I463" t="s">
        <v>123</v>
      </c>
      <c r="J463" t="s">
        <v>130</v>
      </c>
      <c r="N463" s="17" t="s">
        <v>126</v>
      </c>
      <c r="AE463">
        <v>0</v>
      </c>
      <c r="AF463">
        <v>0</v>
      </c>
      <c r="AG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28</v>
      </c>
      <c r="BF463">
        <v>8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18</v>
      </c>
      <c r="CB463">
        <v>9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46</v>
      </c>
      <c r="CJ463">
        <v>17</v>
      </c>
      <c r="CK463">
        <v>63</v>
      </c>
      <c r="CL463">
        <v>46</v>
      </c>
      <c r="CM463">
        <v>17</v>
      </c>
      <c r="CN463">
        <v>63</v>
      </c>
    </row>
    <row r="464" spans="1:92" x14ac:dyDescent="0.3">
      <c r="A464" s="22" t="s">
        <v>465</v>
      </c>
      <c r="B464" t="s">
        <v>108</v>
      </c>
      <c r="C464" t="s">
        <v>109</v>
      </c>
      <c r="D464">
        <v>401500</v>
      </c>
      <c r="E464" t="s">
        <v>131</v>
      </c>
      <c r="F464" t="s">
        <v>132</v>
      </c>
      <c r="G464" t="s">
        <v>112</v>
      </c>
      <c r="H464" t="s">
        <v>133</v>
      </c>
      <c r="I464" t="s">
        <v>123</v>
      </c>
      <c r="J464" t="s">
        <v>130</v>
      </c>
      <c r="N464" s="17" t="s">
        <v>126</v>
      </c>
      <c r="AE464">
        <v>0</v>
      </c>
      <c r="AF464">
        <v>0</v>
      </c>
      <c r="AG464">
        <v>0</v>
      </c>
      <c r="AR464">
        <v>0</v>
      </c>
      <c r="AS464">
        <v>0</v>
      </c>
      <c r="AT464">
        <v>0</v>
      </c>
      <c r="AU464">
        <v>3</v>
      </c>
      <c r="AV464">
        <v>3</v>
      </c>
      <c r="AW464">
        <v>7</v>
      </c>
      <c r="AX464">
        <v>7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Q464">
        <v>0</v>
      </c>
      <c r="BR464">
        <v>3</v>
      </c>
      <c r="BS464">
        <v>11</v>
      </c>
      <c r="BT464">
        <v>17</v>
      </c>
      <c r="BU464">
        <v>0</v>
      </c>
      <c r="BV464">
        <v>0</v>
      </c>
      <c r="BW464">
        <v>5</v>
      </c>
      <c r="BX464">
        <v>4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26</v>
      </c>
      <c r="CJ464">
        <v>34</v>
      </c>
      <c r="CK464">
        <v>60</v>
      </c>
      <c r="CL464">
        <v>26</v>
      </c>
      <c r="CM464">
        <v>34</v>
      </c>
      <c r="CN464">
        <v>60</v>
      </c>
    </row>
    <row r="465" spans="1:92" x14ac:dyDescent="0.3">
      <c r="A465" s="22" t="s">
        <v>465</v>
      </c>
      <c r="B465" t="s">
        <v>108</v>
      </c>
      <c r="C465" t="s">
        <v>109</v>
      </c>
      <c r="D465">
        <v>409925</v>
      </c>
      <c r="E465" t="s">
        <v>134</v>
      </c>
      <c r="F465" t="s">
        <v>135</v>
      </c>
      <c r="G465" t="s">
        <v>112</v>
      </c>
      <c r="H465" t="s">
        <v>136</v>
      </c>
      <c r="I465" t="s">
        <v>123</v>
      </c>
      <c r="J465" t="s">
        <v>124</v>
      </c>
      <c r="N465" s="17" t="s">
        <v>126</v>
      </c>
      <c r="AE465">
        <v>0</v>
      </c>
      <c r="AF465">
        <v>0</v>
      </c>
      <c r="AG465">
        <v>0</v>
      </c>
      <c r="AR465">
        <v>0</v>
      </c>
      <c r="AS465">
        <v>0</v>
      </c>
      <c r="AT465">
        <v>0</v>
      </c>
      <c r="AU465">
        <v>4</v>
      </c>
      <c r="AV465">
        <v>10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4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Q465">
        <v>0</v>
      </c>
      <c r="BR465">
        <v>2</v>
      </c>
      <c r="BS465">
        <v>0</v>
      </c>
      <c r="BT465">
        <v>0</v>
      </c>
      <c r="BU465">
        <v>0</v>
      </c>
      <c r="BV465">
        <v>0</v>
      </c>
      <c r="BW465">
        <v>2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7</v>
      </c>
      <c r="CJ465">
        <v>18</v>
      </c>
      <c r="CK465">
        <v>25</v>
      </c>
      <c r="CL465">
        <v>7</v>
      </c>
      <c r="CM465">
        <v>18</v>
      </c>
      <c r="CN465">
        <v>25</v>
      </c>
    </row>
    <row r="466" spans="1:92" x14ac:dyDescent="0.3">
      <c r="A466" s="22" t="s">
        <v>465</v>
      </c>
      <c r="B466" t="s">
        <v>108</v>
      </c>
      <c r="C466" t="s">
        <v>109</v>
      </c>
      <c r="D466">
        <v>410227</v>
      </c>
      <c r="E466" t="s">
        <v>139</v>
      </c>
      <c r="F466" t="s">
        <v>404</v>
      </c>
      <c r="G466" t="s">
        <v>112</v>
      </c>
      <c r="H466" t="s">
        <v>129</v>
      </c>
      <c r="I466" t="s">
        <v>123</v>
      </c>
      <c r="J466" t="s">
        <v>124</v>
      </c>
      <c r="N466" s="17" t="s">
        <v>126</v>
      </c>
      <c r="AE466">
        <v>0</v>
      </c>
      <c r="AF466">
        <v>0</v>
      </c>
      <c r="AG466">
        <v>0</v>
      </c>
      <c r="AR466">
        <v>0</v>
      </c>
      <c r="AS466">
        <v>0</v>
      </c>
      <c r="AT466">
        <v>0</v>
      </c>
      <c r="AU466">
        <v>0</v>
      </c>
      <c r="AV466">
        <v>6</v>
      </c>
      <c r="AW466">
        <v>1</v>
      </c>
      <c r="AX466">
        <v>1</v>
      </c>
      <c r="AY466">
        <v>1</v>
      </c>
      <c r="AZ466">
        <v>8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Q466">
        <v>1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4</v>
      </c>
      <c r="CJ466">
        <v>15</v>
      </c>
      <c r="CK466">
        <v>19</v>
      </c>
      <c r="CL466">
        <v>4</v>
      </c>
      <c r="CM466">
        <v>15</v>
      </c>
      <c r="CN466">
        <v>19</v>
      </c>
    </row>
    <row r="467" spans="1:92" x14ac:dyDescent="0.3">
      <c r="A467" s="22" t="s">
        <v>465</v>
      </c>
      <c r="B467" t="s">
        <v>108</v>
      </c>
      <c r="C467" t="s">
        <v>405</v>
      </c>
      <c r="D467">
        <v>410465</v>
      </c>
      <c r="E467" t="s">
        <v>406</v>
      </c>
      <c r="F467" t="s">
        <v>407</v>
      </c>
      <c r="G467" t="s">
        <v>112</v>
      </c>
      <c r="H467" t="s">
        <v>129</v>
      </c>
      <c r="I467" t="s">
        <v>123</v>
      </c>
      <c r="J467" t="s">
        <v>124</v>
      </c>
      <c r="N467" s="17" t="s">
        <v>126</v>
      </c>
      <c r="AE467">
        <v>0</v>
      </c>
      <c r="AF467">
        <v>0</v>
      </c>
      <c r="AG467">
        <v>0</v>
      </c>
      <c r="AR467">
        <v>0</v>
      </c>
      <c r="AS467">
        <v>0</v>
      </c>
      <c r="AT467">
        <v>0</v>
      </c>
      <c r="AU467">
        <v>6</v>
      </c>
      <c r="AV467">
        <v>24</v>
      </c>
      <c r="AW467">
        <v>32</v>
      </c>
      <c r="AX467">
        <v>29</v>
      </c>
      <c r="AY467">
        <v>0</v>
      </c>
      <c r="AZ467">
        <v>0</v>
      </c>
      <c r="BA467">
        <v>0</v>
      </c>
      <c r="BB467">
        <v>2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Q467">
        <v>9</v>
      </c>
      <c r="BR467">
        <v>20</v>
      </c>
      <c r="BS467">
        <v>27</v>
      </c>
      <c r="BT467">
        <v>24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74</v>
      </c>
      <c r="CJ467">
        <v>99</v>
      </c>
      <c r="CK467">
        <v>173</v>
      </c>
      <c r="CL467">
        <v>74</v>
      </c>
      <c r="CM467">
        <v>99</v>
      </c>
      <c r="CN467">
        <v>173</v>
      </c>
    </row>
    <row r="468" spans="1:92" x14ac:dyDescent="0.3">
      <c r="A468" s="22" t="s">
        <v>465</v>
      </c>
      <c r="B468" t="s">
        <v>108</v>
      </c>
      <c r="C468" t="s">
        <v>141</v>
      </c>
      <c r="D468">
        <v>409926</v>
      </c>
      <c r="E468" t="s">
        <v>134</v>
      </c>
      <c r="F468" t="s">
        <v>137</v>
      </c>
      <c r="G468" t="s">
        <v>112</v>
      </c>
      <c r="H468" t="s">
        <v>138</v>
      </c>
      <c r="I468" t="s">
        <v>123</v>
      </c>
      <c r="J468" t="s">
        <v>124</v>
      </c>
      <c r="N468" s="17" t="s">
        <v>126</v>
      </c>
      <c r="AE468">
        <v>0</v>
      </c>
      <c r="AF468">
        <v>0</v>
      </c>
      <c r="AG468">
        <v>0</v>
      </c>
      <c r="AR468">
        <v>0</v>
      </c>
      <c r="AS468">
        <v>0</v>
      </c>
      <c r="AT468">
        <v>0</v>
      </c>
      <c r="AU468">
        <v>3</v>
      </c>
      <c r="AV468">
        <v>14</v>
      </c>
      <c r="AW468">
        <v>28</v>
      </c>
      <c r="AX468">
        <v>31</v>
      </c>
      <c r="AY468">
        <v>18</v>
      </c>
      <c r="AZ468">
        <v>14</v>
      </c>
      <c r="BA468">
        <v>5</v>
      </c>
      <c r="BB468">
        <v>0</v>
      </c>
      <c r="BC468">
        <v>0</v>
      </c>
      <c r="BD468">
        <v>0</v>
      </c>
      <c r="BE468">
        <v>21</v>
      </c>
      <c r="BF468">
        <v>39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Q468">
        <v>2</v>
      </c>
      <c r="BR468">
        <v>1</v>
      </c>
      <c r="BS468">
        <v>14</v>
      </c>
      <c r="BT468">
        <v>9</v>
      </c>
      <c r="BU468">
        <v>2</v>
      </c>
      <c r="BV468">
        <v>4</v>
      </c>
      <c r="BW468">
        <v>2</v>
      </c>
      <c r="BX468">
        <v>2</v>
      </c>
      <c r="BY468">
        <v>0</v>
      </c>
      <c r="BZ468">
        <v>0</v>
      </c>
      <c r="CA468">
        <v>12</v>
      </c>
      <c r="CB468">
        <v>6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107</v>
      </c>
      <c r="CJ468">
        <v>120</v>
      </c>
      <c r="CK468">
        <v>227</v>
      </c>
      <c r="CL468">
        <v>107</v>
      </c>
      <c r="CM468">
        <v>120</v>
      </c>
      <c r="CN468">
        <v>227</v>
      </c>
    </row>
    <row r="469" spans="1:92" x14ac:dyDescent="0.3">
      <c r="A469" s="22" t="s">
        <v>465</v>
      </c>
      <c r="B469" t="s">
        <v>108</v>
      </c>
      <c r="C469" t="s">
        <v>141</v>
      </c>
      <c r="D469">
        <v>410825</v>
      </c>
      <c r="E469" t="s">
        <v>424</v>
      </c>
      <c r="F469" t="s">
        <v>425</v>
      </c>
      <c r="G469" t="s">
        <v>112</v>
      </c>
      <c r="H469" t="s">
        <v>261</v>
      </c>
      <c r="I469" t="s">
        <v>123</v>
      </c>
      <c r="J469" t="s">
        <v>124</v>
      </c>
      <c r="N469" s="17" t="s">
        <v>126</v>
      </c>
      <c r="AE469">
        <v>0</v>
      </c>
      <c r="AF469">
        <v>0</v>
      </c>
      <c r="AG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2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2</v>
      </c>
      <c r="CK469">
        <v>3</v>
      </c>
      <c r="CL469">
        <v>1</v>
      </c>
      <c r="CM469">
        <v>2</v>
      </c>
      <c r="CN469">
        <v>3</v>
      </c>
    </row>
    <row r="470" spans="1:92" x14ac:dyDescent="0.3">
      <c r="A470" s="22" t="s">
        <v>465</v>
      </c>
      <c r="B470" t="s">
        <v>108</v>
      </c>
      <c r="C470" t="s">
        <v>426</v>
      </c>
      <c r="D470">
        <v>406457</v>
      </c>
      <c r="E470" t="s">
        <v>466</v>
      </c>
      <c r="F470" t="s">
        <v>467</v>
      </c>
      <c r="G470" t="s">
        <v>112</v>
      </c>
      <c r="H470" t="s">
        <v>147</v>
      </c>
      <c r="I470" t="s">
        <v>123</v>
      </c>
      <c r="J470" t="s">
        <v>124</v>
      </c>
      <c r="N470" s="17" t="s">
        <v>151</v>
      </c>
      <c r="AE470">
        <v>0</v>
      </c>
      <c r="AF470">
        <v>0</v>
      </c>
      <c r="AG470">
        <v>0</v>
      </c>
      <c r="AR470">
        <v>0</v>
      </c>
      <c r="AS470">
        <v>0</v>
      </c>
      <c r="AT470">
        <v>0</v>
      </c>
      <c r="AU470">
        <v>2</v>
      </c>
      <c r="AV470">
        <v>0</v>
      </c>
      <c r="AW470">
        <v>1</v>
      </c>
      <c r="AX470">
        <v>0</v>
      </c>
      <c r="AY470">
        <v>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Q470">
        <v>2</v>
      </c>
      <c r="BR470">
        <v>3</v>
      </c>
      <c r="BS470">
        <v>2</v>
      </c>
      <c r="BT470">
        <v>0</v>
      </c>
      <c r="BU470">
        <v>2</v>
      </c>
      <c r="BV470">
        <v>2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10</v>
      </c>
      <c r="CJ470">
        <v>5</v>
      </c>
      <c r="CK470">
        <v>15</v>
      </c>
      <c r="CL470">
        <v>10</v>
      </c>
      <c r="CM470">
        <v>5</v>
      </c>
      <c r="CN470">
        <v>15</v>
      </c>
    </row>
    <row r="471" spans="1:92" x14ac:dyDescent="0.3">
      <c r="A471" s="22" t="s">
        <v>465</v>
      </c>
      <c r="B471" t="s">
        <v>108</v>
      </c>
      <c r="C471" t="s">
        <v>426</v>
      </c>
      <c r="D471">
        <v>406458</v>
      </c>
      <c r="E471" t="s">
        <v>427</v>
      </c>
      <c r="F471" t="s">
        <v>428</v>
      </c>
      <c r="G471" t="s">
        <v>112</v>
      </c>
      <c r="H471" t="s">
        <v>147</v>
      </c>
      <c r="I471" t="s">
        <v>123</v>
      </c>
      <c r="J471" t="s">
        <v>124</v>
      </c>
      <c r="N471" s="17" t="s">
        <v>151</v>
      </c>
      <c r="AE471">
        <v>0</v>
      </c>
      <c r="AF471">
        <v>0</v>
      </c>
      <c r="AG471">
        <v>0</v>
      </c>
      <c r="AR471">
        <v>0</v>
      </c>
      <c r="AS471">
        <v>0</v>
      </c>
      <c r="AT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</row>
    <row r="472" spans="1:92" x14ac:dyDescent="0.3">
      <c r="A472" s="22" t="s">
        <v>465</v>
      </c>
      <c r="B472" t="s">
        <v>108</v>
      </c>
      <c r="C472" t="s">
        <v>144</v>
      </c>
      <c r="D472">
        <v>305341</v>
      </c>
      <c r="E472" t="s">
        <v>145</v>
      </c>
      <c r="F472" t="s">
        <v>429</v>
      </c>
      <c r="G472" t="s">
        <v>112</v>
      </c>
      <c r="H472" t="s">
        <v>147</v>
      </c>
      <c r="I472" t="s">
        <v>114</v>
      </c>
      <c r="J472" t="s">
        <v>115</v>
      </c>
      <c r="N472" s="17" t="s">
        <v>119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3</v>
      </c>
      <c r="AK472">
        <v>0</v>
      </c>
      <c r="AL472">
        <v>7</v>
      </c>
      <c r="AM472">
        <v>10</v>
      </c>
      <c r="AN472">
        <v>7</v>
      </c>
      <c r="AO472">
        <v>5</v>
      </c>
      <c r="AP472">
        <v>0</v>
      </c>
      <c r="AQ472">
        <v>0</v>
      </c>
      <c r="AR472">
        <v>17</v>
      </c>
      <c r="AS472">
        <v>16</v>
      </c>
      <c r="AT472">
        <v>33</v>
      </c>
      <c r="AU472">
        <v>0</v>
      </c>
      <c r="AV472">
        <v>2</v>
      </c>
      <c r="AW472">
        <v>4</v>
      </c>
      <c r="AX472">
        <v>1</v>
      </c>
      <c r="AY472">
        <v>3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Q472">
        <v>1</v>
      </c>
      <c r="BR472">
        <v>2</v>
      </c>
      <c r="BS472">
        <v>2</v>
      </c>
      <c r="BT472">
        <v>4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2</v>
      </c>
      <c r="CB472">
        <v>5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14</v>
      </c>
      <c r="CJ472">
        <v>19</v>
      </c>
      <c r="CK472">
        <v>33</v>
      </c>
      <c r="CL472">
        <v>31</v>
      </c>
      <c r="CM472">
        <v>35</v>
      </c>
      <c r="CN472">
        <v>66</v>
      </c>
    </row>
    <row r="473" spans="1:92" x14ac:dyDescent="0.3">
      <c r="A473" s="22" t="s">
        <v>465</v>
      </c>
      <c r="B473" t="s">
        <v>108</v>
      </c>
      <c r="C473" t="s">
        <v>144</v>
      </c>
      <c r="D473">
        <v>406446</v>
      </c>
      <c r="E473" t="s">
        <v>148</v>
      </c>
      <c r="F473" t="s">
        <v>149</v>
      </c>
      <c r="G473" t="s">
        <v>112</v>
      </c>
      <c r="H473" t="s">
        <v>147</v>
      </c>
      <c r="I473" t="s">
        <v>123</v>
      </c>
      <c r="J473" t="s">
        <v>124</v>
      </c>
      <c r="N473" s="17" t="s">
        <v>151</v>
      </c>
      <c r="AE473">
        <v>0</v>
      </c>
      <c r="AF473">
        <v>0</v>
      </c>
      <c r="AG473">
        <v>0</v>
      </c>
      <c r="AR473">
        <v>0</v>
      </c>
      <c r="AS473">
        <v>0</v>
      </c>
      <c r="AT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</row>
    <row r="474" spans="1:92" x14ac:dyDescent="0.3">
      <c r="A474" s="22" t="s">
        <v>465</v>
      </c>
      <c r="B474" t="s">
        <v>108</v>
      </c>
      <c r="C474" t="s">
        <v>144</v>
      </c>
      <c r="D474">
        <v>406451</v>
      </c>
      <c r="E474" t="s">
        <v>430</v>
      </c>
      <c r="F474" t="s">
        <v>431</v>
      </c>
      <c r="G474" t="s">
        <v>112</v>
      </c>
      <c r="H474" t="s">
        <v>147</v>
      </c>
      <c r="I474" t="s">
        <v>123</v>
      </c>
      <c r="J474" t="s">
        <v>124</v>
      </c>
      <c r="N474" s="17" t="s">
        <v>163</v>
      </c>
      <c r="AE474">
        <v>0</v>
      </c>
      <c r="AF474">
        <v>0</v>
      </c>
      <c r="AG474">
        <v>0</v>
      </c>
      <c r="AR474">
        <v>0</v>
      </c>
      <c r="AS474">
        <v>0</v>
      </c>
      <c r="AT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</row>
    <row r="475" spans="1:92" x14ac:dyDescent="0.3">
      <c r="A475" s="22" t="s">
        <v>465</v>
      </c>
      <c r="B475" t="s">
        <v>108</v>
      </c>
      <c r="C475" t="s">
        <v>144</v>
      </c>
      <c r="D475">
        <v>482569</v>
      </c>
      <c r="E475" t="s">
        <v>432</v>
      </c>
      <c r="F475" t="s">
        <v>433</v>
      </c>
      <c r="G475" t="s">
        <v>112</v>
      </c>
      <c r="H475" t="s">
        <v>138</v>
      </c>
      <c r="I475" t="s">
        <v>123</v>
      </c>
      <c r="J475" t="s">
        <v>124</v>
      </c>
      <c r="N475" s="17" t="s">
        <v>163</v>
      </c>
      <c r="AE475">
        <v>0</v>
      </c>
      <c r="AF475">
        <v>0</v>
      </c>
      <c r="AG475">
        <v>0</v>
      </c>
      <c r="AR475">
        <v>0</v>
      </c>
      <c r="AS475">
        <v>0</v>
      </c>
      <c r="AT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</row>
    <row r="476" spans="1:92" x14ac:dyDescent="0.3">
      <c r="A476" s="22" t="s">
        <v>465</v>
      </c>
      <c r="B476" t="s">
        <v>108</v>
      </c>
      <c r="C476" t="s">
        <v>144</v>
      </c>
      <c r="D476">
        <v>482792</v>
      </c>
      <c r="E476" t="s">
        <v>164</v>
      </c>
      <c r="F476" t="s">
        <v>165</v>
      </c>
      <c r="G476" t="s">
        <v>112</v>
      </c>
      <c r="H476" t="s">
        <v>147</v>
      </c>
      <c r="I476" t="s">
        <v>123</v>
      </c>
      <c r="J476" t="s">
        <v>124</v>
      </c>
      <c r="N476" s="17" t="s">
        <v>163</v>
      </c>
      <c r="AE476">
        <v>0</v>
      </c>
      <c r="AF476">
        <v>0</v>
      </c>
      <c r="AG476">
        <v>0</v>
      </c>
      <c r="AR476">
        <v>0</v>
      </c>
      <c r="AS476">
        <v>0</v>
      </c>
      <c r="AT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</row>
    <row r="477" spans="1:92" x14ac:dyDescent="0.3">
      <c r="A477" s="22" t="s">
        <v>465</v>
      </c>
      <c r="B477" t="s">
        <v>108</v>
      </c>
      <c r="C477" t="s">
        <v>166</v>
      </c>
      <c r="D477">
        <v>305340</v>
      </c>
      <c r="E477" t="s">
        <v>167</v>
      </c>
      <c r="F477" t="s">
        <v>168</v>
      </c>
      <c r="G477" t="s">
        <v>112</v>
      </c>
      <c r="H477" t="s">
        <v>169</v>
      </c>
      <c r="I477" t="s">
        <v>114</v>
      </c>
      <c r="J477" t="s">
        <v>115</v>
      </c>
      <c r="N477" s="17" t="s">
        <v>119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32</v>
      </c>
      <c r="AI477">
        <v>24</v>
      </c>
      <c r="AJ477">
        <v>5</v>
      </c>
      <c r="AK477">
        <v>10</v>
      </c>
      <c r="AL477">
        <v>5</v>
      </c>
      <c r="AM477">
        <v>15</v>
      </c>
      <c r="AN477">
        <v>22</v>
      </c>
      <c r="AO477">
        <v>15</v>
      </c>
      <c r="AP477">
        <v>0</v>
      </c>
      <c r="AQ477">
        <v>0</v>
      </c>
      <c r="AR477">
        <v>64</v>
      </c>
      <c r="AS477">
        <v>64</v>
      </c>
      <c r="AT477">
        <v>128</v>
      </c>
      <c r="AU477">
        <v>1</v>
      </c>
      <c r="AV477">
        <v>5</v>
      </c>
      <c r="AW477">
        <v>4</v>
      </c>
      <c r="AX477">
        <v>7</v>
      </c>
      <c r="AY477">
        <v>2</v>
      </c>
      <c r="AZ477">
        <v>3</v>
      </c>
      <c r="BA477">
        <v>0</v>
      </c>
      <c r="BB477">
        <v>0</v>
      </c>
      <c r="BC477">
        <v>0</v>
      </c>
      <c r="BD477">
        <v>0</v>
      </c>
      <c r="BE477">
        <v>12</v>
      </c>
      <c r="BF477">
        <v>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Q477">
        <v>9</v>
      </c>
      <c r="BR477">
        <v>5</v>
      </c>
      <c r="BS477">
        <v>5</v>
      </c>
      <c r="BT477">
        <v>12</v>
      </c>
      <c r="BU477">
        <v>3</v>
      </c>
      <c r="BV477">
        <v>4</v>
      </c>
      <c r="BW477">
        <v>0</v>
      </c>
      <c r="BX477">
        <v>0</v>
      </c>
      <c r="BY477">
        <v>0</v>
      </c>
      <c r="BZ477">
        <v>0</v>
      </c>
      <c r="CA477">
        <v>10</v>
      </c>
      <c r="CB477">
        <v>7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46</v>
      </c>
      <c r="CJ477">
        <v>45</v>
      </c>
      <c r="CK477">
        <v>91</v>
      </c>
      <c r="CL477">
        <v>110</v>
      </c>
      <c r="CM477">
        <v>109</v>
      </c>
      <c r="CN477">
        <v>219</v>
      </c>
    </row>
    <row r="478" spans="1:92" x14ac:dyDescent="0.3">
      <c r="A478" s="22" t="s">
        <v>465</v>
      </c>
      <c r="B478" t="s">
        <v>108</v>
      </c>
      <c r="C478" t="s">
        <v>166</v>
      </c>
      <c r="D478">
        <v>305342</v>
      </c>
      <c r="E478" t="s">
        <v>170</v>
      </c>
      <c r="F478" t="s">
        <v>171</v>
      </c>
      <c r="G478" t="s">
        <v>112</v>
      </c>
      <c r="H478" t="s">
        <v>113</v>
      </c>
      <c r="I478" t="s">
        <v>114</v>
      </c>
      <c r="J478" t="s">
        <v>115</v>
      </c>
      <c r="N478" s="17" t="s">
        <v>119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17</v>
      </c>
      <c r="AI478">
        <v>17</v>
      </c>
      <c r="AJ478">
        <v>26</v>
      </c>
      <c r="AK478">
        <v>21</v>
      </c>
      <c r="AL478">
        <v>16</v>
      </c>
      <c r="AM478">
        <v>28</v>
      </c>
      <c r="AN478">
        <v>32</v>
      </c>
      <c r="AO478">
        <v>47</v>
      </c>
      <c r="AP478">
        <v>0</v>
      </c>
      <c r="AQ478">
        <v>0</v>
      </c>
      <c r="AR478">
        <v>91</v>
      </c>
      <c r="AS478">
        <v>113</v>
      </c>
      <c r="AT478">
        <v>204</v>
      </c>
      <c r="CI478">
        <v>0</v>
      </c>
      <c r="CJ478">
        <v>0</v>
      </c>
      <c r="CK478">
        <v>0</v>
      </c>
      <c r="CL478">
        <v>91</v>
      </c>
      <c r="CM478">
        <v>113</v>
      </c>
      <c r="CN478">
        <v>204</v>
      </c>
    </row>
    <row r="479" spans="1:92" x14ac:dyDescent="0.3">
      <c r="A479" s="22" t="s">
        <v>465</v>
      </c>
      <c r="B479" t="s">
        <v>108</v>
      </c>
      <c r="C479" t="s">
        <v>166</v>
      </c>
      <c r="D479">
        <v>319504</v>
      </c>
      <c r="E479" t="s">
        <v>172</v>
      </c>
      <c r="F479" t="s">
        <v>173</v>
      </c>
      <c r="G479" t="s">
        <v>112</v>
      </c>
      <c r="H479" t="s">
        <v>174</v>
      </c>
      <c r="I479" t="s">
        <v>114</v>
      </c>
      <c r="J479" t="s">
        <v>115</v>
      </c>
      <c r="N479" s="17" t="s">
        <v>119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28</v>
      </c>
      <c r="AI479">
        <v>33</v>
      </c>
      <c r="AJ479">
        <v>2</v>
      </c>
      <c r="AK479">
        <v>8</v>
      </c>
      <c r="AL479">
        <v>19</v>
      </c>
      <c r="AM479">
        <v>21</v>
      </c>
      <c r="AN479">
        <v>42</v>
      </c>
      <c r="AO479">
        <v>45</v>
      </c>
      <c r="AP479">
        <v>0</v>
      </c>
      <c r="AQ479">
        <v>0</v>
      </c>
      <c r="AR479">
        <v>91</v>
      </c>
      <c r="AS479">
        <v>107</v>
      </c>
      <c r="AT479">
        <v>198</v>
      </c>
      <c r="CI479">
        <v>0</v>
      </c>
      <c r="CJ479">
        <v>0</v>
      </c>
      <c r="CK479">
        <v>0</v>
      </c>
      <c r="CL479">
        <v>91</v>
      </c>
      <c r="CM479">
        <v>107</v>
      </c>
      <c r="CN479">
        <v>198</v>
      </c>
    </row>
    <row r="480" spans="1:92" x14ac:dyDescent="0.3">
      <c r="A480" s="22" t="s">
        <v>465</v>
      </c>
      <c r="B480" t="s">
        <v>108</v>
      </c>
      <c r="C480" t="s">
        <v>166</v>
      </c>
      <c r="D480">
        <v>406462</v>
      </c>
      <c r="E480" t="s">
        <v>434</v>
      </c>
      <c r="F480" t="s">
        <v>435</v>
      </c>
      <c r="G480" t="s">
        <v>112</v>
      </c>
      <c r="H480" t="s">
        <v>174</v>
      </c>
      <c r="I480" t="s">
        <v>123</v>
      </c>
      <c r="J480" t="s">
        <v>124</v>
      </c>
      <c r="N480" s="17" t="s">
        <v>151</v>
      </c>
      <c r="AE480">
        <v>0</v>
      </c>
      <c r="AF480">
        <v>0</v>
      </c>
      <c r="AG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</v>
      </c>
      <c r="BB480">
        <v>3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2</v>
      </c>
      <c r="CJ480">
        <v>5</v>
      </c>
      <c r="CK480">
        <v>7</v>
      </c>
      <c r="CL480">
        <v>2</v>
      </c>
      <c r="CM480">
        <v>5</v>
      </c>
      <c r="CN480">
        <v>7</v>
      </c>
    </row>
    <row r="481" spans="1:92" x14ac:dyDescent="0.3">
      <c r="A481" s="22" t="s">
        <v>465</v>
      </c>
      <c r="B481" t="s">
        <v>108</v>
      </c>
      <c r="C481" t="s">
        <v>166</v>
      </c>
      <c r="D481">
        <v>406463</v>
      </c>
      <c r="E481" t="s">
        <v>436</v>
      </c>
      <c r="F481" t="s">
        <v>437</v>
      </c>
      <c r="G481" t="s">
        <v>112</v>
      </c>
      <c r="H481" t="s">
        <v>133</v>
      </c>
      <c r="I481" t="s">
        <v>123</v>
      </c>
      <c r="J481" t="s">
        <v>124</v>
      </c>
      <c r="N481" s="17" t="s">
        <v>151</v>
      </c>
      <c r="AE481">
        <v>0</v>
      </c>
      <c r="AF481">
        <v>0</v>
      </c>
      <c r="AG481">
        <v>0</v>
      </c>
      <c r="AR481">
        <v>0</v>
      </c>
      <c r="AS481">
        <v>0</v>
      </c>
      <c r="AT481">
        <v>0</v>
      </c>
      <c r="AU481">
        <v>0</v>
      </c>
      <c r="AV481">
        <v>4</v>
      </c>
      <c r="AW481">
        <v>0</v>
      </c>
      <c r="AX481">
        <v>2</v>
      </c>
      <c r="AY481">
        <v>0</v>
      </c>
      <c r="AZ481">
        <v>3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Q481">
        <v>0</v>
      </c>
      <c r="BR481">
        <v>0</v>
      </c>
      <c r="BS481">
        <v>2</v>
      </c>
      <c r="BT481">
        <v>0</v>
      </c>
      <c r="BU481">
        <v>2</v>
      </c>
      <c r="BV481">
        <v>2</v>
      </c>
      <c r="BW481">
        <v>4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8</v>
      </c>
      <c r="CJ481">
        <v>11</v>
      </c>
      <c r="CK481">
        <v>19</v>
      </c>
      <c r="CL481">
        <v>8</v>
      </c>
      <c r="CM481">
        <v>11</v>
      </c>
      <c r="CN481">
        <v>19</v>
      </c>
    </row>
    <row r="482" spans="1:92" x14ac:dyDescent="0.3">
      <c r="A482" s="22" t="s">
        <v>465</v>
      </c>
      <c r="B482" t="s">
        <v>108</v>
      </c>
      <c r="C482" t="s">
        <v>166</v>
      </c>
      <c r="D482">
        <v>406472</v>
      </c>
      <c r="E482" t="s">
        <v>175</v>
      </c>
      <c r="F482" t="s">
        <v>176</v>
      </c>
      <c r="G482" t="s">
        <v>112</v>
      </c>
      <c r="H482" t="s">
        <v>174</v>
      </c>
      <c r="I482" t="s">
        <v>123</v>
      </c>
      <c r="J482" t="s">
        <v>124</v>
      </c>
      <c r="N482" s="17" t="s">
        <v>157</v>
      </c>
      <c r="AE482">
        <v>0</v>
      </c>
      <c r="AF482">
        <v>0</v>
      </c>
      <c r="AG482">
        <v>0</v>
      </c>
      <c r="AR482">
        <v>0</v>
      </c>
      <c r="AS482">
        <v>0</v>
      </c>
      <c r="AT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</row>
    <row r="483" spans="1:92" x14ac:dyDescent="0.3">
      <c r="A483" s="22" t="s">
        <v>465</v>
      </c>
      <c r="B483" t="s">
        <v>108</v>
      </c>
      <c r="C483" t="s">
        <v>166</v>
      </c>
      <c r="D483">
        <v>482540</v>
      </c>
      <c r="E483" t="s">
        <v>177</v>
      </c>
      <c r="F483" t="s">
        <v>178</v>
      </c>
      <c r="G483" t="s">
        <v>112</v>
      </c>
      <c r="H483" t="s">
        <v>133</v>
      </c>
      <c r="I483" t="s">
        <v>123</v>
      </c>
      <c r="J483" t="s">
        <v>124</v>
      </c>
      <c r="N483" s="17" t="s">
        <v>157</v>
      </c>
      <c r="AE483">
        <v>0</v>
      </c>
      <c r="AF483">
        <v>0</v>
      </c>
      <c r="AG483">
        <v>0</v>
      </c>
      <c r="AR483">
        <v>0</v>
      </c>
      <c r="AS483">
        <v>0</v>
      </c>
      <c r="AT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</row>
    <row r="484" spans="1:92" x14ac:dyDescent="0.3">
      <c r="A484" s="22" t="s">
        <v>465</v>
      </c>
      <c r="B484" t="s">
        <v>108</v>
      </c>
      <c r="C484" t="s">
        <v>166</v>
      </c>
      <c r="D484">
        <v>482606</v>
      </c>
      <c r="E484" t="s">
        <v>438</v>
      </c>
      <c r="F484" t="s">
        <v>439</v>
      </c>
      <c r="G484" t="s">
        <v>112</v>
      </c>
      <c r="H484" t="s">
        <v>261</v>
      </c>
      <c r="I484" t="s">
        <v>123</v>
      </c>
      <c r="J484" t="s">
        <v>124</v>
      </c>
      <c r="N484" s="17" t="s">
        <v>163</v>
      </c>
      <c r="AE484">
        <v>0</v>
      </c>
      <c r="AF484">
        <v>0</v>
      </c>
      <c r="AG484">
        <v>0</v>
      </c>
      <c r="AR484">
        <v>0</v>
      </c>
      <c r="AS484">
        <v>0</v>
      </c>
      <c r="AT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</row>
    <row r="485" spans="1:92" x14ac:dyDescent="0.3">
      <c r="A485" s="22" t="s">
        <v>465</v>
      </c>
      <c r="B485" t="s">
        <v>108</v>
      </c>
      <c r="C485" t="s">
        <v>166</v>
      </c>
      <c r="D485">
        <v>482607</v>
      </c>
      <c r="E485" t="s">
        <v>179</v>
      </c>
      <c r="F485" t="s">
        <v>180</v>
      </c>
      <c r="G485" t="s">
        <v>112</v>
      </c>
      <c r="H485" t="s">
        <v>174</v>
      </c>
      <c r="I485" t="s">
        <v>123</v>
      </c>
      <c r="J485" t="s">
        <v>124</v>
      </c>
      <c r="N485" s="17" t="s">
        <v>157</v>
      </c>
      <c r="AE485">
        <v>0</v>
      </c>
      <c r="AF485">
        <v>0</v>
      </c>
      <c r="AG485">
        <v>0</v>
      </c>
      <c r="AR485">
        <v>0</v>
      </c>
      <c r="AS485">
        <v>0</v>
      </c>
      <c r="AT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</row>
    <row r="486" spans="1:92" x14ac:dyDescent="0.3">
      <c r="A486" s="22" t="s">
        <v>465</v>
      </c>
      <c r="B486" t="s">
        <v>108</v>
      </c>
      <c r="C486" t="s">
        <v>166</v>
      </c>
      <c r="D486">
        <v>482771</v>
      </c>
      <c r="E486" t="s">
        <v>440</v>
      </c>
      <c r="F486" t="s">
        <v>441</v>
      </c>
      <c r="G486" t="s">
        <v>112</v>
      </c>
      <c r="H486" t="s">
        <v>133</v>
      </c>
      <c r="I486" t="s">
        <v>123</v>
      </c>
      <c r="J486" t="s">
        <v>124</v>
      </c>
      <c r="N486" s="17" t="s">
        <v>163</v>
      </c>
      <c r="AE486">
        <v>0</v>
      </c>
      <c r="AF486">
        <v>0</v>
      </c>
      <c r="AG486">
        <v>0</v>
      </c>
      <c r="AR486">
        <v>0</v>
      </c>
      <c r="AS486">
        <v>0</v>
      </c>
      <c r="AT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</row>
    <row r="487" spans="1:92" x14ac:dyDescent="0.3">
      <c r="A487" s="22" t="s">
        <v>465</v>
      </c>
      <c r="B487" t="s">
        <v>108</v>
      </c>
      <c r="C487" t="s">
        <v>166</v>
      </c>
      <c r="D487">
        <v>482813</v>
      </c>
      <c r="E487" t="s">
        <v>468</v>
      </c>
      <c r="F487" t="s">
        <v>469</v>
      </c>
      <c r="G487" t="s">
        <v>112</v>
      </c>
      <c r="H487" t="s">
        <v>113</v>
      </c>
      <c r="I487" t="s">
        <v>123</v>
      </c>
      <c r="J487" t="s">
        <v>124</v>
      </c>
      <c r="N487" s="17" t="s">
        <v>163</v>
      </c>
      <c r="AE487">
        <v>0</v>
      </c>
      <c r="AF487">
        <v>0</v>
      </c>
      <c r="AG487">
        <v>0</v>
      </c>
      <c r="AR487">
        <v>0</v>
      </c>
      <c r="AS487">
        <v>0</v>
      </c>
      <c r="AT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</row>
    <row r="488" spans="1:92" x14ac:dyDescent="0.3">
      <c r="A488" s="22" t="s">
        <v>465</v>
      </c>
      <c r="B488" t="s">
        <v>108</v>
      </c>
      <c r="C488" t="s">
        <v>181</v>
      </c>
      <c r="D488">
        <v>305336</v>
      </c>
      <c r="E488" t="s">
        <v>182</v>
      </c>
      <c r="F488" t="s">
        <v>183</v>
      </c>
      <c r="G488" t="s">
        <v>112</v>
      </c>
      <c r="H488" t="s">
        <v>129</v>
      </c>
      <c r="I488" t="s">
        <v>114</v>
      </c>
      <c r="J488" t="s">
        <v>115</v>
      </c>
      <c r="N488" s="17" t="s">
        <v>119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4</v>
      </c>
      <c r="AL488">
        <v>2</v>
      </c>
      <c r="AM488">
        <v>1</v>
      </c>
      <c r="AN488">
        <v>6</v>
      </c>
      <c r="AO488">
        <v>6</v>
      </c>
      <c r="AP488">
        <v>0</v>
      </c>
      <c r="AQ488">
        <v>0</v>
      </c>
      <c r="AR488">
        <v>8</v>
      </c>
      <c r="AS488">
        <v>11</v>
      </c>
      <c r="AT488">
        <v>19</v>
      </c>
      <c r="AU488">
        <v>1</v>
      </c>
      <c r="AV488">
        <v>6</v>
      </c>
      <c r="AW488">
        <v>3</v>
      </c>
      <c r="AX488">
        <v>6</v>
      </c>
      <c r="AY488">
        <v>2</v>
      </c>
      <c r="AZ488">
        <v>8</v>
      </c>
      <c r="BA488">
        <v>0</v>
      </c>
      <c r="BB488">
        <v>0</v>
      </c>
      <c r="BC488">
        <v>0</v>
      </c>
      <c r="BD488">
        <v>0</v>
      </c>
      <c r="BE488">
        <v>9</v>
      </c>
      <c r="BF488">
        <v>8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Q488">
        <v>8</v>
      </c>
      <c r="BR488">
        <v>10</v>
      </c>
      <c r="BS488">
        <v>6</v>
      </c>
      <c r="BT488">
        <v>16</v>
      </c>
      <c r="BU488">
        <v>5</v>
      </c>
      <c r="BV488">
        <v>4</v>
      </c>
      <c r="BW488">
        <v>0</v>
      </c>
      <c r="BX488">
        <v>0</v>
      </c>
      <c r="BY488">
        <v>0</v>
      </c>
      <c r="BZ488">
        <v>0</v>
      </c>
      <c r="CA488">
        <v>15</v>
      </c>
      <c r="CB488">
        <v>8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49</v>
      </c>
      <c r="CJ488">
        <v>66</v>
      </c>
      <c r="CK488">
        <v>115</v>
      </c>
      <c r="CL488">
        <v>57</v>
      </c>
      <c r="CM488">
        <v>77</v>
      </c>
      <c r="CN488">
        <v>134</v>
      </c>
    </row>
    <row r="489" spans="1:92" x14ac:dyDescent="0.3">
      <c r="A489" s="22" t="s">
        <v>465</v>
      </c>
      <c r="B489" t="s">
        <v>108</v>
      </c>
      <c r="C489" t="s">
        <v>181</v>
      </c>
      <c r="D489">
        <v>305338</v>
      </c>
      <c r="E489" t="s">
        <v>184</v>
      </c>
      <c r="F489" t="s">
        <v>185</v>
      </c>
      <c r="G489" t="s">
        <v>112</v>
      </c>
      <c r="H489" t="s">
        <v>186</v>
      </c>
      <c r="I489" t="s">
        <v>114</v>
      </c>
      <c r="J489" t="s">
        <v>115</v>
      </c>
      <c r="N489" s="17" t="s">
        <v>188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13</v>
      </c>
      <c r="AI489">
        <v>12</v>
      </c>
      <c r="AJ489">
        <v>1</v>
      </c>
      <c r="AK489">
        <v>2</v>
      </c>
      <c r="AL489">
        <v>0</v>
      </c>
      <c r="AM489">
        <v>0</v>
      </c>
      <c r="AN489">
        <v>5</v>
      </c>
      <c r="AO489">
        <v>10</v>
      </c>
      <c r="AP489">
        <v>0</v>
      </c>
      <c r="AQ489">
        <v>0</v>
      </c>
      <c r="AR489">
        <v>19</v>
      </c>
      <c r="AS489">
        <v>24</v>
      </c>
      <c r="AT489">
        <v>43</v>
      </c>
      <c r="CI489">
        <v>0</v>
      </c>
      <c r="CJ489">
        <v>0</v>
      </c>
      <c r="CK489">
        <v>0</v>
      </c>
      <c r="CL489">
        <v>19</v>
      </c>
      <c r="CM489">
        <v>24</v>
      </c>
      <c r="CN489">
        <v>43</v>
      </c>
    </row>
    <row r="490" spans="1:92" x14ac:dyDescent="0.3">
      <c r="A490" s="22" t="s">
        <v>465</v>
      </c>
      <c r="B490" t="s">
        <v>108</v>
      </c>
      <c r="C490" t="s">
        <v>181</v>
      </c>
      <c r="D490">
        <v>305339</v>
      </c>
      <c r="E490" t="s">
        <v>189</v>
      </c>
      <c r="F490" t="s">
        <v>190</v>
      </c>
      <c r="G490" t="s">
        <v>112</v>
      </c>
      <c r="H490" t="s">
        <v>191</v>
      </c>
      <c r="I490" t="s">
        <v>114</v>
      </c>
      <c r="J490" t="s">
        <v>115</v>
      </c>
      <c r="N490" s="17" t="s">
        <v>119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4</v>
      </c>
      <c r="AJ490">
        <v>1</v>
      </c>
      <c r="AK490">
        <v>2</v>
      </c>
      <c r="AL490">
        <v>9</v>
      </c>
      <c r="AM490">
        <v>7</v>
      </c>
      <c r="AN490">
        <v>3</v>
      </c>
      <c r="AO490">
        <v>5</v>
      </c>
      <c r="AP490">
        <v>0</v>
      </c>
      <c r="AQ490">
        <v>0</v>
      </c>
      <c r="AR490">
        <v>15</v>
      </c>
      <c r="AS490">
        <v>18</v>
      </c>
      <c r="AT490">
        <v>33</v>
      </c>
      <c r="AU490">
        <v>3</v>
      </c>
      <c r="AV490">
        <v>4</v>
      </c>
      <c r="AW490">
        <v>4</v>
      </c>
      <c r="AX490">
        <v>8</v>
      </c>
      <c r="AY490">
        <v>3</v>
      </c>
      <c r="AZ490">
        <v>12</v>
      </c>
      <c r="BA490">
        <v>1</v>
      </c>
      <c r="BB490">
        <v>2</v>
      </c>
      <c r="BC490">
        <v>0</v>
      </c>
      <c r="BD490">
        <v>0</v>
      </c>
      <c r="BE490">
        <v>12</v>
      </c>
      <c r="BF490">
        <v>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Q490">
        <v>0</v>
      </c>
      <c r="BR490">
        <v>6</v>
      </c>
      <c r="BS490">
        <v>4</v>
      </c>
      <c r="BT490">
        <v>9</v>
      </c>
      <c r="BU490">
        <v>8</v>
      </c>
      <c r="BV490">
        <v>5</v>
      </c>
      <c r="BW490">
        <v>6</v>
      </c>
      <c r="BX490">
        <v>2</v>
      </c>
      <c r="BY490">
        <v>0</v>
      </c>
      <c r="BZ490">
        <v>0</v>
      </c>
      <c r="CA490">
        <v>15</v>
      </c>
      <c r="CB490">
        <v>13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56</v>
      </c>
      <c r="CJ490">
        <v>68</v>
      </c>
      <c r="CK490">
        <v>124</v>
      </c>
      <c r="CL490">
        <v>71</v>
      </c>
      <c r="CM490">
        <v>86</v>
      </c>
      <c r="CN490">
        <v>157</v>
      </c>
    </row>
    <row r="491" spans="1:92" x14ac:dyDescent="0.3">
      <c r="A491" s="22" t="s">
        <v>465</v>
      </c>
      <c r="B491" t="s">
        <v>108</v>
      </c>
      <c r="C491" t="s">
        <v>181</v>
      </c>
      <c r="D491">
        <v>401447</v>
      </c>
      <c r="E491" t="s">
        <v>192</v>
      </c>
      <c r="F491" t="s">
        <v>193</v>
      </c>
      <c r="G491" t="s">
        <v>112</v>
      </c>
      <c r="H491" t="s">
        <v>191</v>
      </c>
      <c r="I491" t="s">
        <v>123</v>
      </c>
      <c r="J491" t="s">
        <v>124</v>
      </c>
      <c r="N491" s="17" t="s">
        <v>126</v>
      </c>
      <c r="AE491">
        <v>0</v>
      </c>
      <c r="AF491">
        <v>0</v>
      </c>
      <c r="AG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2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3</v>
      </c>
      <c r="CK491">
        <v>8</v>
      </c>
      <c r="CL491">
        <v>5</v>
      </c>
      <c r="CM491">
        <v>3</v>
      </c>
      <c r="CN491">
        <v>8</v>
      </c>
    </row>
    <row r="492" spans="1:92" x14ac:dyDescent="0.3">
      <c r="A492" s="22" t="s">
        <v>465</v>
      </c>
      <c r="B492" t="s">
        <v>108</v>
      </c>
      <c r="C492" t="s">
        <v>181</v>
      </c>
      <c r="D492">
        <v>406460</v>
      </c>
      <c r="E492" t="s">
        <v>442</v>
      </c>
      <c r="F492" t="s">
        <v>443</v>
      </c>
      <c r="G492" t="s">
        <v>112</v>
      </c>
      <c r="H492" t="s">
        <v>169</v>
      </c>
      <c r="I492" t="s">
        <v>123</v>
      </c>
      <c r="J492" t="s">
        <v>124</v>
      </c>
      <c r="N492" s="17" t="s">
        <v>157</v>
      </c>
      <c r="AE492">
        <v>0</v>
      </c>
      <c r="AF492">
        <v>0</v>
      </c>
      <c r="AG492">
        <v>0</v>
      </c>
      <c r="AR492">
        <v>0</v>
      </c>
      <c r="AS492">
        <v>0</v>
      </c>
      <c r="AT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</row>
    <row r="493" spans="1:92" x14ac:dyDescent="0.3">
      <c r="A493" s="22" t="s">
        <v>465</v>
      </c>
      <c r="B493" t="s">
        <v>108</v>
      </c>
      <c r="C493" t="s">
        <v>181</v>
      </c>
      <c r="D493">
        <v>406464</v>
      </c>
      <c r="E493" t="s">
        <v>470</v>
      </c>
      <c r="F493" t="s">
        <v>471</v>
      </c>
      <c r="G493" t="s">
        <v>112</v>
      </c>
      <c r="H493" t="s">
        <v>217</v>
      </c>
      <c r="I493" t="s">
        <v>123</v>
      </c>
      <c r="J493" t="s">
        <v>124</v>
      </c>
      <c r="N493" s="17" t="s">
        <v>151</v>
      </c>
      <c r="AE493">
        <v>0</v>
      </c>
      <c r="AF493">
        <v>0</v>
      </c>
      <c r="AG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2</v>
      </c>
      <c r="AY493">
        <v>1</v>
      </c>
      <c r="AZ493">
        <v>1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4</v>
      </c>
      <c r="CJ493">
        <v>3</v>
      </c>
      <c r="CK493">
        <v>7</v>
      </c>
      <c r="CL493">
        <v>4</v>
      </c>
      <c r="CM493">
        <v>3</v>
      </c>
      <c r="CN493">
        <v>7</v>
      </c>
    </row>
    <row r="494" spans="1:92" x14ac:dyDescent="0.3">
      <c r="A494" s="22" t="s">
        <v>465</v>
      </c>
      <c r="B494" t="s">
        <v>108</v>
      </c>
      <c r="C494" t="s">
        <v>181</v>
      </c>
      <c r="D494">
        <v>406471</v>
      </c>
      <c r="E494" t="s">
        <v>472</v>
      </c>
      <c r="F494" t="s">
        <v>473</v>
      </c>
      <c r="G494" t="s">
        <v>112</v>
      </c>
      <c r="H494" t="s">
        <v>122</v>
      </c>
      <c r="I494" t="s">
        <v>123</v>
      </c>
      <c r="J494" t="s">
        <v>124</v>
      </c>
      <c r="N494" s="17" t="s">
        <v>163</v>
      </c>
      <c r="AE494">
        <v>0</v>
      </c>
      <c r="AF494">
        <v>0</v>
      </c>
      <c r="AG494">
        <v>0</v>
      </c>
      <c r="AR494">
        <v>0</v>
      </c>
      <c r="AS494">
        <v>0</v>
      </c>
      <c r="AT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</row>
    <row r="495" spans="1:92" x14ac:dyDescent="0.3">
      <c r="A495" s="22" t="s">
        <v>465</v>
      </c>
      <c r="B495" t="s">
        <v>108</v>
      </c>
      <c r="C495" t="s">
        <v>181</v>
      </c>
      <c r="D495">
        <v>406474</v>
      </c>
      <c r="E495" t="s">
        <v>194</v>
      </c>
      <c r="F495" t="s">
        <v>195</v>
      </c>
      <c r="G495" t="s">
        <v>112</v>
      </c>
      <c r="H495" t="s">
        <v>186</v>
      </c>
      <c r="I495" t="s">
        <v>123</v>
      </c>
      <c r="J495" t="s">
        <v>124</v>
      </c>
      <c r="N495" s="17" t="s">
        <v>151</v>
      </c>
      <c r="AE495">
        <v>0</v>
      </c>
      <c r="AF495">
        <v>0</v>
      </c>
      <c r="AG495">
        <v>0</v>
      </c>
      <c r="AR495">
        <v>0</v>
      </c>
      <c r="AS495">
        <v>0</v>
      </c>
      <c r="AT495">
        <v>0</v>
      </c>
      <c r="AU495">
        <v>5</v>
      </c>
      <c r="AV495">
        <v>2</v>
      </c>
      <c r="AW495">
        <v>0</v>
      </c>
      <c r="AX495">
        <v>3</v>
      </c>
      <c r="AY495">
        <v>3</v>
      </c>
      <c r="AZ495">
        <v>1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Q495">
        <v>0</v>
      </c>
      <c r="BR495">
        <v>0</v>
      </c>
      <c r="BS495">
        <v>3</v>
      </c>
      <c r="BT495">
        <v>1</v>
      </c>
      <c r="BU495">
        <v>0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11</v>
      </c>
      <c r="CJ495">
        <v>9</v>
      </c>
      <c r="CK495">
        <v>20</v>
      </c>
      <c r="CL495">
        <v>11</v>
      </c>
      <c r="CM495">
        <v>9</v>
      </c>
      <c r="CN495">
        <v>20</v>
      </c>
    </row>
    <row r="496" spans="1:92" x14ac:dyDescent="0.3">
      <c r="A496" s="22" t="s">
        <v>465</v>
      </c>
      <c r="B496" t="s">
        <v>108</v>
      </c>
      <c r="C496" t="s">
        <v>181</v>
      </c>
      <c r="D496">
        <v>406476</v>
      </c>
      <c r="E496" t="s">
        <v>474</v>
      </c>
      <c r="F496" t="s">
        <v>475</v>
      </c>
      <c r="G496" t="s">
        <v>112</v>
      </c>
      <c r="H496" t="s">
        <v>217</v>
      </c>
      <c r="I496" t="s">
        <v>123</v>
      </c>
      <c r="J496" t="s">
        <v>130</v>
      </c>
      <c r="N496" s="17" t="s">
        <v>151</v>
      </c>
      <c r="AE496">
        <v>0</v>
      </c>
      <c r="AF496">
        <v>0</v>
      </c>
      <c r="AG496">
        <v>0</v>
      </c>
      <c r="AR496">
        <v>0</v>
      </c>
      <c r="AS496">
        <v>0</v>
      </c>
      <c r="AT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</row>
    <row r="497" spans="1:92" x14ac:dyDescent="0.3">
      <c r="A497" s="22" t="s">
        <v>465</v>
      </c>
      <c r="B497" t="s">
        <v>108</v>
      </c>
      <c r="C497" t="s">
        <v>181</v>
      </c>
      <c r="D497">
        <v>406484</v>
      </c>
      <c r="E497" t="s">
        <v>196</v>
      </c>
      <c r="F497" t="s">
        <v>197</v>
      </c>
      <c r="G497" t="s">
        <v>112</v>
      </c>
      <c r="H497" t="s">
        <v>129</v>
      </c>
      <c r="I497" t="s">
        <v>123</v>
      </c>
      <c r="J497" t="s">
        <v>124</v>
      </c>
      <c r="N497" s="17" t="s">
        <v>151</v>
      </c>
      <c r="AE497">
        <v>0</v>
      </c>
      <c r="AF497">
        <v>0</v>
      </c>
      <c r="AG497">
        <v>0</v>
      </c>
      <c r="AR497">
        <v>0</v>
      </c>
      <c r="AS497">
        <v>0</v>
      </c>
      <c r="AT497">
        <v>0</v>
      </c>
      <c r="AU497">
        <v>2</v>
      </c>
      <c r="AV497">
        <v>12</v>
      </c>
      <c r="AW497">
        <v>10</v>
      </c>
      <c r="AX497">
        <v>10</v>
      </c>
      <c r="AY497">
        <v>24</v>
      </c>
      <c r="AZ497">
        <v>39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Q497">
        <v>5</v>
      </c>
      <c r="BR497">
        <v>16</v>
      </c>
      <c r="BS497">
        <v>10</v>
      </c>
      <c r="BT497">
        <v>17</v>
      </c>
      <c r="BU497">
        <v>38</v>
      </c>
      <c r="BV497">
        <v>67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89</v>
      </c>
      <c r="CJ497">
        <v>161</v>
      </c>
      <c r="CK497">
        <v>250</v>
      </c>
      <c r="CL497">
        <v>89</v>
      </c>
      <c r="CM497">
        <v>161</v>
      </c>
      <c r="CN497">
        <v>250</v>
      </c>
    </row>
    <row r="498" spans="1:92" x14ac:dyDescent="0.3">
      <c r="A498" s="22" t="s">
        <v>465</v>
      </c>
      <c r="B498" t="s">
        <v>108</v>
      </c>
      <c r="C498" t="s">
        <v>181</v>
      </c>
      <c r="D498">
        <v>406485</v>
      </c>
      <c r="E498" t="s">
        <v>414</v>
      </c>
      <c r="F498" t="s">
        <v>415</v>
      </c>
      <c r="G498" t="s">
        <v>112</v>
      </c>
      <c r="H498" t="s">
        <v>122</v>
      </c>
      <c r="I498" t="s">
        <v>123</v>
      </c>
      <c r="J498" t="s">
        <v>124</v>
      </c>
      <c r="N498" s="17" t="s">
        <v>151</v>
      </c>
      <c r="AE498">
        <v>0</v>
      </c>
      <c r="AF498">
        <v>0</v>
      </c>
      <c r="AG498">
        <v>0</v>
      </c>
      <c r="AR498">
        <v>0</v>
      </c>
      <c r="AS498">
        <v>0</v>
      </c>
      <c r="AT498">
        <v>0</v>
      </c>
      <c r="AU498">
        <v>1</v>
      </c>
      <c r="AV498">
        <v>1</v>
      </c>
      <c r="AW498">
        <v>2</v>
      </c>
      <c r="AX498">
        <v>0</v>
      </c>
      <c r="AY498">
        <v>3</v>
      </c>
      <c r="AZ498">
        <v>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Q498">
        <v>2</v>
      </c>
      <c r="BR498">
        <v>1</v>
      </c>
      <c r="BS498">
        <v>0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11</v>
      </c>
      <c r="CJ498">
        <v>6</v>
      </c>
      <c r="CK498">
        <v>17</v>
      </c>
      <c r="CL498">
        <v>11</v>
      </c>
      <c r="CM498">
        <v>6</v>
      </c>
      <c r="CN498">
        <v>17</v>
      </c>
    </row>
    <row r="499" spans="1:92" x14ac:dyDescent="0.3">
      <c r="A499" s="22" t="s">
        <v>465</v>
      </c>
      <c r="B499" t="s">
        <v>108</v>
      </c>
      <c r="C499" t="s">
        <v>181</v>
      </c>
      <c r="D499">
        <v>406486</v>
      </c>
      <c r="E499" t="s">
        <v>444</v>
      </c>
      <c r="F499" t="s">
        <v>445</v>
      </c>
      <c r="G499" t="s">
        <v>112</v>
      </c>
      <c r="H499" t="s">
        <v>122</v>
      </c>
      <c r="I499" t="s">
        <v>123</v>
      </c>
      <c r="J499" t="s">
        <v>124</v>
      </c>
      <c r="N499" s="17" t="s">
        <v>151</v>
      </c>
      <c r="AE499">
        <v>0</v>
      </c>
      <c r="AF499">
        <v>0</v>
      </c>
      <c r="AG499">
        <v>0</v>
      </c>
      <c r="AR499">
        <v>0</v>
      </c>
      <c r="AS499">
        <v>0</v>
      </c>
      <c r="AT499">
        <v>0</v>
      </c>
      <c r="AU499">
        <v>0</v>
      </c>
      <c r="AV499">
        <v>2</v>
      </c>
      <c r="AW499">
        <v>2</v>
      </c>
      <c r="AX499">
        <v>1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2</v>
      </c>
      <c r="CJ499">
        <v>7</v>
      </c>
      <c r="CK499">
        <v>9</v>
      </c>
      <c r="CL499">
        <v>2</v>
      </c>
      <c r="CM499">
        <v>7</v>
      </c>
      <c r="CN499">
        <v>9</v>
      </c>
    </row>
    <row r="500" spans="1:92" x14ac:dyDescent="0.3">
      <c r="A500" s="22" t="s">
        <v>465</v>
      </c>
      <c r="B500" t="s">
        <v>108</v>
      </c>
      <c r="C500" t="s">
        <v>181</v>
      </c>
      <c r="D500">
        <v>406487</v>
      </c>
      <c r="E500" t="s">
        <v>198</v>
      </c>
      <c r="F500" t="s">
        <v>199</v>
      </c>
      <c r="G500" t="s">
        <v>112</v>
      </c>
      <c r="H500" t="s">
        <v>129</v>
      </c>
      <c r="I500" t="s">
        <v>123</v>
      </c>
      <c r="J500" t="s">
        <v>124</v>
      </c>
      <c r="N500" s="17" t="s">
        <v>151</v>
      </c>
      <c r="AE500">
        <v>0</v>
      </c>
      <c r="AF500">
        <v>0</v>
      </c>
      <c r="AG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Q500">
        <v>1</v>
      </c>
      <c r="BR500">
        <v>0</v>
      </c>
      <c r="BS500">
        <v>1</v>
      </c>
      <c r="BT500">
        <v>0</v>
      </c>
      <c r="BU500">
        <v>0</v>
      </c>
      <c r="BV500">
        <v>2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</v>
      </c>
      <c r="CJ500">
        <v>2</v>
      </c>
      <c r="CK500">
        <v>4</v>
      </c>
      <c r="CL500">
        <v>2</v>
      </c>
      <c r="CM500">
        <v>2</v>
      </c>
      <c r="CN500">
        <v>4</v>
      </c>
    </row>
    <row r="501" spans="1:92" x14ac:dyDescent="0.3">
      <c r="A501" s="22" t="s">
        <v>465</v>
      </c>
      <c r="B501" t="s">
        <v>108</v>
      </c>
      <c r="C501" t="s">
        <v>181</v>
      </c>
      <c r="D501">
        <v>406488</v>
      </c>
      <c r="E501" t="s">
        <v>446</v>
      </c>
      <c r="F501" t="s">
        <v>447</v>
      </c>
      <c r="G501" t="s">
        <v>112</v>
      </c>
      <c r="H501" t="s">
        <v>186</v>
      </c>
      <c r="I501" t="s">
        <v>123</v>
      </c>
      <c r="J501" t="s">
        <v>130</v>
      </c>
      <c r="N501" s="17" t="s">
        <v>151</v>
      </c>
      <c r="AE501">
        <v>0</v>
      </c>
      <c r="AF501">
        <v>0</v>
      </c>
      <c r="AG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1</v>
      </c>
      <c r="CK501">
        <v>1</v>
      </c>
      <c r="CL501">
        <v>0</v>
      </c>
      <c r="CM501">
        <v>1</v>
      </c>
      <c r="CN501">
        <v>1</v>
      </c>
    </row>
    <row r="502" spans="1:92" x14ac:dyDescent="0.3">
      <c r="A502" s="22" t="s">
        <v>465</v>
      </c>
      <c r="B502" t="s">
        <v>108</v>
      </c>
      <c r="C502" t="s">
        <v>181</v>
      </c>
      <c r="D502">
        <v>406493</v>
      </c>
      <c r="E502" t="s">
        <v>202</v>
      </c>
      <c r="F502" t="s">
        <v>203</v>
      </c>
      <c r="G502" t="s">
        <v>112</v>
      </c>
      <c r="H502" t="s">
        <v>186</v>
      </c>
      <c r="I502" t="s">
        <v>123</v>
      </c>
      <c r="J502" t="s">
        <v>124</v>
      </c>
      <c r="N502" s="17" t="s">
        <v>151</v>
      </c>
      <c r="AE502">
        <v>0</v>
      </c>
      <c r="AF502">
        <v>0</v>
      </c>
      <c r="AG502">
        <v>0</v>
      </c>
      <c r="AR502">
        <v>0</v>
      </c>
      <c r="AS502">
        <v>0</v>
      </c>
      <c r="AT502">
        <v>0</v>
      </c>
      <c r="AU502">
        <v>0</v>
      </c>
      <c r="AV502">
        <v>2</v>
      </c>
      <c r="AW502">
        <v>5</v>
      </c>
      <c r="AX502">
        <v>2</v>
      </c>
      <c r="AY502">
        <v>0</v>
      </c>
      <c r="AZ502">
        <v>2</v>
      </c>
      <c r="BA502">
        <v>0</v>
      </c>
      <c r="BB502">
        <v>0</v>
      </c>
      <c r="BC502">
        <v>0</v>
      </c>
      <c r="BD502">
        <v>0</v>
      </c>
      <c r="BE502">
        <v>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Q502">
        <v>3</v>
      </c>
      <c r="BR502">
        <v>3</v>
      </c>
      <c r="BS502">
        <v>1</v>
      </c>
      <c r="BT502">
        <v>4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14</v>
      </c>
      <c r="CJ502">
        <v>14</v>
      </c>
      <c r="CK502">
        <v>28</v>
      </c>
      <c r="CL502">
        <v>14</v>
      </c>
      <c r="CM502">
        <v>14</v>
      </c>
      <c r="CN502">
        <v>28</v>
      </c>
    </row>
    <row r="503" spans="1:92" x14ac:dyDescent="0.3">
      <c r="A503" s="22" t="s">
        <v>465</v>
      </c>
      <c r="B503" t="s">
        <v>108</v>
      </c>
      <c r="C503" t="s">
        <v>181</v>
      </c>
      <c r="D503">
        <v>406510</v>
      </c>
      <c r="E503" t="s">
        <v>204</v>
      </c>
      <c r="F503" t="s">
        <v>205</v>
      </c>
      <c r="G503" t="s">
        <v>112</v>
      </c>
      <c r="H503" t="s">
        <v>136</v>
      </c>
      <c r="I503" t="s">
        <v>123</v>
      </c>
      <c r="J503" t="s">
        <v>124</v>
      </c>
      <c r="N503" s="17" t="s">
        <v>157</v>
      </c>
      <c r="AE503">
        <v>0</v>
      </c>
      <c r="AF503">
        <v>0</v>
      </c>
      <c r="AG503">
        <v>0</v>
      </c>
      <c r="AR503">
        <v>0</v>
      </c>
      <c r="AS503">
        <v>0</v>
      </c>
      <c r="AT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</row>
    <row r="504" spans="1:92" x14ac:dyDescent="0.3">
      <c r="A504" s="22" t="s">
        <v>465</v>
      </c>
      <c r="B504" t="s">
        <v>108</v>
      </c>
      <c r="C504" t="s">
        <v>181</v>
      </c>
      <c r="D504">
        <v>407808</v>
      </c>
      <c r="E504" t="s">
        <v>206</v>
      </c>
      <c r="F504" t="s">
        <v>207</v>
      </c>
      <c r="G504" t="s">
        <v>112</v>
      </c>
      <c r="H504" t="s">
        <v>186</v>
      </c>
      <c r="I504" t="s">
        <v>123</v>
      </c>
      <c r="J504" t="s">
        <v>124</v>
      </c>
      <c r="N504" s="17" t="s">
        <v>126</v>
      </c>
      <c r="AE504">
        <v>0</v>
      </c>
      <c r="AF504">
        <v>0</v>
      </c>
      <c r="AG504">
        <v>0</v>
      </c>
      <c r="AR504">
        <v>0</v>
      </c>
      <c r="AS504">
        <v>0</v>
      </c>
      <c r="AT504">
        <v>0</v>
      </c>
      <c r="AU504">
        <v>0</v>
      </c>
      <c r="AV504">
        <v>3</v>
      </c>
      <c r="AW504">
        <v>1</v>
      </c>
      <c r="AX504">
        <v>3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9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Q504">
        <v>0</v>
      </c>
      <c r="BR504">
        <v>4</v>
      </c>
      <c r="BS504">
        <v>1</v>
      </c>
      <c r="BT504">
        <v>6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4</v>
      </c>
      <c r="CB504">
        <v>7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8</v>
      </c>
      <c r="CJ504">
        <v>32</v>
      </c>
      <c r="CK504">
        <v>40</v>
      </c>
      <c r="CL504">
        <v>8</v>
      </c>
      <c r="CM504">
        <v>32</v>
      </c>
      <c r="CN504">
        <v>40</v>
      </c>
    </row>
    <row r="505" spans="1:92" x14ac:dyDescent="0.3">
      <c r="A505" s="22" t="s">
        <v>465</v>
      </c>
      <c r="B505" t="s">
        <v>108</v>
      </c>
      <c r="C505" t="s">
        <v>181</v>
      </c>
      <c r="D505">
        <v>410119</v>
      </c>
      <c r="E505" t="s">
        <v>208</v>
      </c>
      <c r="F505" t="s">
        <v>209</v>
      </c>
      <c r="G505" t="s">
        <v>112</v>
      </c>
      <c r="H505" t="s">
        <v>136</v>
      </c>
      <c r="I505" t="s">
        <v>123</v>
      </c>
      <c r="J505" t="s">
        <v>124</v>
      </c>
      <c r="N505" s="17" t="s">
        <v>163</v>
      </c>
      <c r="AE505">
        <v>0</v>
      </c>
      <c r="AF505">
        <v>0</v>
      </c>
      <c r="AG505">
        <v>0</v>
      </c>
      <c r="AR505">
        <v>0</v>
      </c>
      <c r="AS505">
        <v>0</v>
      </c>
      <c r="AT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</row>
    <row r="506" spans="1:92" x14ac:dyDescent="0.3">
      <c r="A506" s="22" t="s">
        <v>465</v>
      </c>
      <c r="B506" t="s">
        <v>108</v>
      </c>
      <c r="C506" t="s">
        <v>181</v>
      </c>
      <c r="D506">
        <v>482504</v>
      </c>
      <c r="E506" t="s">
        <v>210</v>
      </c>
      <c r="F506" t="s">
        <v>211</v>
      </c>
      <c r="G506" t="s">
        <v>112</v>
      </c>
      <c r="H506" t="s">
        <v>122</v>
      </c>
      <c r="I506" t="s">
        <v>123</v>
      </c>
      <c r="J506" t="s">
        <v>124</v>
      </c>
      <c r="N506" s="17" t="s">
        <v>151</v>
      </c>
      <c r="AE506">
        <v>0</v>
      </c>
      <c r="AF506">
        <v>0</v>
      </c>
      <c r="AG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Q506">
        <v>2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6</v>
      </c>
      <c r="CJ506">
        <v>0</v>
      </c>
      <c r="CK506">
        <v>6</v>
      </c>
      <c r="CL506">
        <v>6</v>
      </c>
      <c r="CM506">
        <v>0</v>
      </c>
      <c r="CN506">
        <v>6</v>
      </c>
    </row>
    <row r="507" spans="1:92" x14ac:dyDescent="0.3">
      <c r="A507" s="22" t="s">
        <v>465</v>
      </c>
      <c r="B507" t="s">
        <v>108</v>
      </c>
      <c r="C507" t="s">
        <v>181</v>
      </c>
      <c r="D507">
        <v>482521</v>
      </c>
      <c r="E507" t="s">
        <v>408</v>
      </c>
      <c r="F507" t="s">
        <v>409</v>
      </c>
      <c r="G507" t="s">
        <v>112</v>
      </c>
      <c r="H507" t="s">
        <v>191</v>
      </c>
      <c r="I507" t="s">
        <v>123</v>
      </c>
      <c r="J507" t="s">
        <v>124</v>
      </c>
      <c r="N507" s="17" t="s">
        <v>163</v>
      </c>
      <c r="AE507">
        <v>0</v>
      </c>
      <c r="AF507">
        <v>0</v>
      </c>
      <c r="AG507">
        <v>0</v>
      </c>
      <c r="AR507">
        <v>0</v>
      </c>
      <c r="AS507">
        <v>0</v>
      </c>
      <c r="AT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</row>
    <row r="508" spans="1:92" x14ac:dyDescent="0.3">
      <c r="A508" s="22" t="s">
        <v>465</v>
      </c>
      <c r="B508" t="s">
        <v>108</v>
      </c>
      <c r="C508" t="s">
        <v>181</v>
      </c>
      <c r="D508">
        <v>482542</v>
      </c>
      <c r="E508" t="s">
        <v>448</v>
      </c>
      <c r="F508" t="s">
        <v>449</v>
      </c>
      <c r="G508" t="s">
        <v>112</v>
      </c>
      <c r="H508" t="s">
        <v>122</v>
      </c>
      <c r="I508" t="s">
        <v>123</v>
      </c>
      <c r="J508" t="s">
        <v>124</v>
      </c>
      <c r="N508" s="17" t="s">
        <v>163</v>
      </c>
      <c r="AE508">
        <v>0</v>
      </c>
      <c r="AF508">
        <v>0</v>
      </c>
      <c r="AG508">
        <v>0</v>
      </c>
      <c r="AR508">
        <v>0</v>
      </c>
      <c r="AS508">
        <v>0</v>
      </c>
      <c r="AT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</row>
    <row r="509" spans="1:92" x14ac:dyDescent="0.3">
      <c r="A509" s="22" t="s">
        <v>465</v>
      </c>
      <c r="B509" t="s">
        <v>108</v>
      </c>
      <c r="C509" t="s">
        <v>181</v>
      </c>
      <c r="D509">
        <v>482600</v>
      </c>
      <c r="E509" t="s">
        <v>218</v>
      </c>
      <c r="F509" t="s">
        <v>219</v>
      </c>
      <c r="G509" t="s">
        <v>112</v>
      </c>
      <c r="H509" t="s">
        <v>186</v>
      </c>
      <c r="I509" t="s">
        <v>123</v>
      </c>
      <c r="J509" t="s">
        <v>124</v>
      </c>
      <c r="N509" s="17" t="s">
        <v>157</v>
      </c>
      <c r="AE509">
        <v>0</v>
      </c>
      <c r="AF509">
        <v>0</v>
      </c>
      <c r="AG509">
        <v>0</v>
      </c>
      <c r="AR509">
        <v>0</v>
      </c>
      <c r="AS509">
        <v>0</v>
      </c>
      <c r="AT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</row>
    <row r="510" spans="1:92" x14ac:dyDescent="0.3">
      <c r="A510" s="22" t="s">
        <v>465</v>
      </c>
      <c r="B510" t="s">
        <v>108</v>
      </c>
      <c r="C510" t="s">
        <v>181</v>
      </c>
      <c r="D510">
        <v>482611</v>
      </c>
      <c r="E510" t="s">
        <v>220</v>
      </c>
      <c r="F510" t="s">
        <v>221</v>
      </c>
      <c r="G510" t="s">
        <v>112</v>
      </c>
      <c r="H510" t="s">
        <v>186</v>
      </c>
      <c r="I510" t="s">
        <v>123</v>
      </c>
      <c r="J510" t="s">
        <v>124</v>
      </c>
      <c r="N510" s="17" t="s">
        <v>163</v>
      </c>
      <c r="AE510">
        <v>0</v>
      </c>
      <c r="AF510">
        <v>0</v>
      </c>
      <c r="AG510">
        <v>0</v>
      </c>
      <c r="AR510">
        <v>0</v>
      </c>
      <c r="AS510">
        <v>0</v>
      </c>
      <c r="AT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</row>
    <row r="511" spans="1:92" x14ac:dyDescent="0.3">
      <c r="A511" s="22" t="s">
        <v>465</v>
      </c>
      <c r="B511" t="s">
        <v>108</v>
      </c>
      <c r="C511" t="s">
        <v>181</v>
      </c>
      <c r="D511">
        <v>482612</v>
      </c>
      <c r="E511" t="s">
        <v>476</v>
      </c>
      <c r="F511" t="s">
        <v>223</v>
      </c>
      <c r="G511" t="s">
        <v>112</v>
      </c>
      <c r="H511" t="s">
        <v>122</v>
      </c>
      <c r="I511" t="s">
        <v>123</v>
      </c>
      <c r="J511" t="s">
        <v>124</v>
      </c>
      <c r="N511" s="17" t="s">
        <v>163</v>
      </c>
      <c r="AE511">
        <v>0</v>
      </c>
      <c r="AF511">
        <v>0</v>
      </c>
      <c r="AG511">
        <v>0</v>
      </c>
      <c r="AR511">
        <v>0</v>
      </c>
      <c r="AS511">
        <v>0</v>
      </c>
      <c r="AT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</row>
    <row r="512" spans="1:92" x14ac:dyDescent="0.3">
      <c r="A512" s="22" t="s">
        <v>465</v>
      </c>
      <c r="B512" t="s">
        <v>108</v>
      </c>
      <c r="C512" t="s">
        <v>181</v>
      </c>
      <c r="D512">
        <v>482614</v>
      </c>
      <c r="E512" t="s">
        <v>450</v>
      </c>
      <c r="F512" t="s">
        <v>451</v>
      </c>
      <c r="G512" t="s">
        <v>112</v>
      </c>
      <c r="H512" t="s">
        <v>122</v>
      </c>
      <c r="I512" t="s">
        <v>123</v>
      </c>
      <c r="J512" t="s">
        <v>124</v>
      </c>
      <c r="N512" s="17" t="s">
        <v>157</v>
      </c>
      <c r="AE512">
        <v>0</v>
      </c>
      <c r="AF512">
        <v>0</v>
      </c>
      <c r="AG512">
        <v>0</v>
      </c>
      <c r="AR512">
        <v>0</v>
      </c>
      <c r="AS512">
        <v>0</v>
      </c>
      <c r="AT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</row>
    <row r="513" spans="1:92" x14ac:dyDescent="0.3">
      <c r="A513" s="22" t="s">
        <v>465</v>
      </c>
      <c r="B513" t="s">
        <v>108</v>
      </c>
      <c r="C513" t="s">
        <v>181</v>
      </c>
      <c r="D513">
        <v>482617</v>
      </c>
      <c r="E513" t="s">
        <v>224</v>
      </c>
      <c r="F513" t="s">
        <v>225</v>
      </c>
      <c r="G513" t="s">
        <v>112</v>
      </c>
      <c r="H513" t="s">
        <v>191</v>
      </c>
      <c r="I513" t="s">
        <v>123</v>
      </c>
      <c r="J513" t="s">
        <v>124</v>
      </c>
      <c r="N513" s="17" t="s">
        <v>157</v>
      </c>
      <c r="AE513">
        <v>0</v>
      </c>
      <c r="AF513">
        <v>0</v>
      </c>
      <c r="AG513">
        <v>0</v>
      </c>
      <c r="AR513">
        <v>0</v>
      </c>
      <c r="AS513">
        <v>0</v>
      </c>
      <c r="AT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</row>
    <row r="514" spans="1:92" x14ac:dyDescent="0.3">
      <c r="A514" s="22" t="s">
        <v>465</v>
      </c>
      <c r="B514" t="s">
        <v>108</v>
      </c>
      <c r="C514" t="s">
        <v>181</v>
      </c>
      <c r="D514">
        <v>482619</v>
      </c>
      <c r="E514" t="s">
        <v>226</v>
      </c>
      <c r="F514" t="s">
        <v>227</v>
      </c>
      <c r="G514" t="s">
        <v>112</v>
      </c>
      <c r="H514" t="s">
        <v>191</v>
      </c>
      <c r="I514" t="s">
        <v>123</v>
      </c>
      <c r="J514" t="s">
        <v>124</v>
      </c>
      <c r="N514" s="17" t="s">
        <v>157</v>
      </c>
      <c r="AE514">
        <v>0</v>
      </c>
      <c r="AF514">
        <v>0</v>
      </c>
      <c r="AG514">
        <v>0</v>
      </c>
      <c r="AR514">
        <v>0</v>
      </c>
      <c r="AS514">
        <v>0</v>
      </c>
      <c r="AT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</row>
    <row r="515" spans="1:92" x14ac:dyDescent="0.3">
      <c r="A515" s="22" t="s">
        <v>465</v>
      </c>
      <c r="B515" t="s">
        <v>108</v>
      </c>
      <c r="C515" t="s">
        <v>181</v>
      </c>
      <c r="D515">
        <v>482682</v>
      </c>
      <c r="E515" t="s">
        <v>452</v>
      </c>
      <c r="F515" t="s">
        <v>453</v>
      </c>
      <c r="G515" t="s">
        <v>112</v>
      </c>
      <c r="H515" t="s">
        <v>191</v>
      </c>
      <c r="I515" t="s">
        <v>123</v>
      </c>
      <c r="J515" t="s">
        <v>124</v>
      </c>
      <c r="N515" s="17" t="s">
        <v>157</v>
      </c>
      <c r="AE515">
        <v>0</v>
      </c>
      <c r="AF515">
        <v>0</v>
      </c>
      <c r="AG515">
        <v>0</v>
      </c>
      <c r="AR515">
        <v>0</v>
      </c>
      <c r="AS515">
        <v>0</v>
      </c>
      <c r="AT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</row>
    <row r="516" spans="1:92" x14ac:dyDescent="0.3">
      <c r="A516" s="22" t="s">
        <v>465</v>
      </c>
      <c r="B516" t="s">
        <v>108</v>
      </c>
      <c r="C516" t="s">
        <v>181</v>
      </c>
      <c r="D516">
        <v>482719</v>
      </c>
      <c r="E516" t="s">
        <v>230</v>
      </c>
      <c r="F516" t="s">
        <v>231</v>
      </c>
      <c r="G516" t="s">
        <v>112</v>
      </c>
      <c r="H516" t="s">
        <v>129</v>
      </c>
      <c r="I516" t="s">
        <v>123</v>
      </c>
      <c r="J516" t="s">
        <v>124</v>
      </c>
      <c r="N516" s="17" t="s">
        <v>163</v>
      </c>
      <c r="AE516">
        <v>0</v>
      </c>
      <c r="AF516">
        <v>0</v>
      </c>
      <c r="AG516">
        <v>0</v>
      </c>
      <c r="AR516">
        <v>0</v>
      </c>
      <c r="AS516">
        <v>0</v>
      </c>
      <c r="AT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</row>
    <row r="517" spans="1:92" x14ac:dyDescent="0.3">
      <c r="A517" s="22" t="s">
        <v>465</v>
      </c>
      <c r="B517" t="s">
        <v>108</v>
      </c>
      <c r="C517" t="s">
        <v>181</v>
      </c>
      <c r="D517">
        <v>482730</v>
      </c>
      <c r="E517" t="s">
        <v>232</v>
      </c>
      <c r="F517" t="s">
        <v>233</v>
      </c>
      <c r="G517" t="s">
        <v>112</v>
      </c>
      <c r="H517" t="s">
        <v>186</v>
      </c>
      <c r="I517" t="s">
        <v>123</v>
      </c>
      <c r="J517" t="s">
        <v>124</v>
      </c>
      <c r="N517" s="17" t="s">
        <v>163</v>
      </c>
      <c r="AE517">
        <v>0</v>
      </c>
      <c r="AF517">
        <v>0</v>
      </c>
      <c r="AG517">
        <v>0</v>
      </c>
      <c r="AR517">
        <v>0</v>
      </c>
      <c r="AS517">
        <v>0</v>
      </c>
      <c r="AT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</row>
    <row r="518" spans="1:92" x14ac:dyDescent="0.3">
      <c r="A518" s="22" t="s">
        <v>465</v>
      </c>
      <c r="B518" t="s">
        <v>108</v>
      </c>
      <c r="C518" t="s">
        <v>181</v>
      </c>
      <c r="D518">
        <v>482821</v>
      </c>
      <c r="E518" t="s">
        <v>234</v>
      </c>
      <c r="F518" t="s">
        <v>235</v>
      </c>
      <c r="G518" t="s">
        <v>112</v>
      </c>
      <c r="H518" t="s">
        <v>191</v>
      </c>
      <c r="I518" t="s">
        <v>123</v>
      </c>
      <c r="J518" t="s">
        <v>124</v>
      </c>
      <c r="N518" s="17" t="s">
        <v>163</v>
      </c>
      <c r="AE518">
        <v>0</v>
      </c>
      <c r="AF518">
        <v>0</v>
      </c>
      <c r="AG518">
        <v>0</v>
      </c>
      <c r="AR518">
        <v>0</v>
      </c>
      <c r="AS518">
        <v>0</v>
      </c>
      <c r="AT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</row>
    <row r="519" spans="1:92" x14ac:dyDescent="0.3">
      <c r="A519" s="22" t="s">
        <v>465</v>
      </c>
      <c r="B519" t="s">
        <v>108</v>
      </c>
      <c r="C519" t="s">
        <v>238</v>
      </c>
      <c r="D519">
        <v>406495</v>
      </c>
      <c r="E519" t="s">
        <v>239</v>
      </c>
      <c r="F519" t="s">
        <v>240</v>
      </c>
      <c r="G519" t="s">
        <v>112</v>
      </c>
      <c r="H519" t="s">
        <v>136</v>
      </c>
      <c r="I519" t="s">
        <v>123</v>
      </c>
      <c r="J519" t="s">
        <v>124</v>
      </c>
      <c r="N519" s="17" t="s">
        <v>163</v>
      </c>
      <c r="AE519">
        <v>0</v>
      </c>
      <c r="AF519">
        <v>0</v>
      </c>
      <c r="AG519">
        <v>0</v>
      </c>
      <c r="AR519">
        <v>0</v>
      </c>
      <c r="AS519">
        <v>0</v>
      </c>
      <c r="AT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</row>
    <row r="520" spans="1:92" x14ac:dyDescent="0.3">
      <c r="A520" s="22" t="s">
        <v>465</v>
      </c>
      <c r="B520" t="s">
        <v>108</v>
      </c>
      <c r="C520" t="s">
        <v>238</v>
      </c>
      <c r="D520">
        <v>406500</v>
      </c>
      <c r="E520" t="s">
        <v>241</v>
      </c>
      <c r="F520" t="s">
        <v>242</v>
      </c>
      <c r="G520" t="s">
        <v>112</v>
      </c>
      <c r="H520" t="s">
        <v>136</v>
      </c>
      <c r="I520" t="s">
        <v>123</v>
      </c>
      <c r="J520" t="s">
        <v>124</v>
      </c>
      <c r="N520" s="17" t="s">
        <v>151</v>
      </c>
      <c r="AE520">
        <v>0</v>
      </c>
      <c r="AF520">
        <v>0</v>
      </c>
      <c r="AG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4</v>
      </c>
      <c r="AX520">
        <v>1</v>
      </c>
      <c r="AY520">
        <v>0</v>
      </c>
      <c r="AZ520">
        <v>2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Q520">
        <v>0</v>
      </c>
      <c r="BR520">
        <v>0</v>
      </c>
      <c r="BS520">
        <v>1</v>
      </c>
      <c r="BT520">
        <v>2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</v>
      </c>
      <c r="CJ520">
        <v>5</v>
      </c>
      <c r="CK520">
        <v>10</v>
      </c>
      <c r="CL520">
        <v>5</v>
      </c>
      <c r="CM520">
        <v>5</v>
      </c>
      <c r="CN520">
        <v>10</v>
      </c>
    </row>
    <row r="521" spans="1:92" x14ac:dyDescent="0.3">
      <c r="A521" s="22" t="s">
        <v>465</v>
      </c>
      <c r="B521" t="s">
        <v>108</v>
      </c>
      <c r="C521" t="s">
        <v>238</v>
      </c>
      <c r="D521">
        <v>406512</v>
      </c>
      <c r="E521" t="s">
        <v>246</v>
      </c>
      <c r="F521" t="s">
        <v>247</v>
      </c>
      <c r="G521" t="s">
        <v>112</v>
      </c>
      <c r="H521" t="s">
        <v>136</v>
      </c>
      <c r="I521" t="s">
        <v>123</v>
      </c>
      <c r="J521" t="s">
        <v>124</v>
      </c>
      <c r="N521" s="17" t="s">
        <v>157</v>
      </c>
      <c r="AE521">
        <v>0</v>
      </c>
      <c r="AF521">
        <v>0</v>
      </c>
      <c r="AG521">
        <v>0</v>
      </c>
      <c r="AR521">
        <v>0</v>
      </c>
      <c r="AS521">
        <v>0</v>
      </c>
      <c r="AT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</row>
    <row r="522" spans="1:92" x14ac:dyDescent="0.3">
      <c r="A522" s="22" t="s">
        <v>465</v>
      </c>
      <c r="B522" t="s">
        <v>108</v>
      </c>
      <c r="C522" t="s">
        <v>238</v>
      </c>
      <c r="D522">
        <v>406521</v>
      </c>
      <c r="E522" t="s">
        <v>454</v>
      </c>
      <c r="F522" t="s">
        <v>455</v>
      </c>
      <c r="G522" t="s">
        <v>112</v>
      </c>
      <c r="H522" t="s">
        <v>136</v>
      </c>
      <c r="I522" t="s">
        <v>123</v>
      </c>
      <c r="J522" t="s">
        <v>130</v>
      </c>
      <c r="N522" s="17" t="s">
        <v>151</v>
      </c>
      <c r="AE522">
        <v>0</v>
      </c>
      <c r="AF522">
        <v>0</v>
      </c>
      <c r="AG522">
        <v>0</v>
      </c>
      <c r="AR522">
        <v>0</v>
      </c>
      <c r="AS522">
        <v>0</v>
      </c>
      <c r="AT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</row>
    <row r="523" spans="1:92" x14ac:dyDescent="0.3">
      <c r="A523" s="22" t="s">
        <v>465</v>
      </c>
      <c r="B523" t="s">
        <v>108</v>
      </c>
      <c r="C523" t="s">
        <v>238</v>
      </c>
      <c r="D523">
        <v>406557</v>
      </c>
      <c r="E523" t="s">
        <v>456</v>
      </c>
      <c r="F523" t="s">
        <v>457</v>
      </c>
      <c r="G523" t="s">
        <v>112</v>
      </c>
      <c r="H523" t="s">
        <v>136</v>
      </c>
      <c r="I523" t="s">
        <v>123</v>
      </c>
      <c r="J523" t="s">
        <v>130</v>
      </c>
      <c r="N523" s="17" t="s">
        <v>151</v>
      </c>
      <c r="AE523">
        <v>0</v>
      </c>
      <c r="AF523">
        <v>0</v>
      </c>
      <c r="AG523">
        <v>0</v>
      </c>
      <c r="AR523">
        <v>0</v>
      </c>
      <c r="AS523">
        <v>0</v>
      </c>
      <c r="AT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</row>
    <row r="524" spans="1:92" x14ac:dyDescent="0.3">
      <c r="A524" s="22" t="s">
        <v>465</v>
      </c>
      <c r="B524" t="s">
        <v>108</v>
      </c>
      <c r="C524" t="s">
        <v>238</v>
      </c>
      <c r="D524">
        <v>406570</v>
      </c>
      <c r="E524" t="s">
        <v>248</v>
      </c>
      <c r="F524" t="s">
        <v>249</v>
      </c>
      <c r="G524" t="s">
        <v>112</v>
      </c>
      <c r="H524" t="s">
        <v>136</v>
      </c>
      <c r="I524" t="s">
        <v>123</v>
      </c>
      <c r="J524" t="s">
        <v>124</v>
      </c>
      <c r="N524" s="17" t="s">
        <v>151</v>
      </c>
      <c r="AE524">
        <v>0</v>
      </c>
      <c r="AF524">
        <v>0</v>
      </c>
      <c r="AG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Q524">
        <v>0</v>
      </c>
      <c r="BR524">
        <v>0</v>
      </c>
      <c r="BS524">
        <v>1</v>
      </c>
      <c r="BT524">
        <v>3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</v>
      </c>
      <c r="CJ524">
        <v>5</v>
      </c>
      <c r="CK524">
        <v>8</v>
      </c>
      <c r="CL524">
        <v>3</v>
      </c>
      <c r="CM524">
        <v>5</v>
      </c>
      <c r="CN524">
        <v>8</v>
      </c>
    </row>
    <row r="525" spans="1:92" x14ac:dyDescent="0.3">
      <c r="A525" s="22" t="s">
        <v>465</v>
      </c>
      <c r="B525" t="s">
        <v>108</v>
      </c>
      <c r="C525" t="s">
        <v>238</v>
      </c>
      <c r="D525">
        <v>482522</v>
      </c>
      <c r="E525" t="s">
        <v>250</v>
      </c>
      <c r="F525" t="s">
        <v>251</v>
      </c>
      <c r="G525" t="s">
        <v>112</v>
      </c>
      <c r="H525" t="s">
        <v>136</v>
      </c>
      <c r="I525" t="s">
        <v>123</v>
      </c>
      <c r="J525" t="s">
        <v>124</v>
      </c>
      <c r="N525" s="17" t="s">
        <v>151</v>
      </c>
      <c r="AE525">
        <v>0</v>
      </c>
      <c r="AF525">
        <v>0</v>
      </c>
      <c r="AG525">
        <v>0</v>
      </c>
      <c r="AR525">
        <v>0</v>
      </c>
      <c r="AS525">
        <v>0</v>
      </c>
      <c r="AT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</row>
    <row r="526" spans="1:92" x14ac:dyDescent="0.3">
      <c r="A526" s="22" t="s">
        <v>465</v>
      </c>
      <c r="B526" t="s">
        <v>108</v>
      </c>
      <c r="C526" t="s">
        <v>238</v>
      </c>
      <c r="D526">
        <v>482544</v>
      </c>
      <c r="E526" t="s">
        <v>416</v>
      </c>
      <c r="F526" t="s">
        <v>417</v>
      </c>
      <c r="G526" t="s">
        <v>112</v>
      </c>
      <c r="H526" t="s">
        <v>136</v>
      </c>
      <c r="I526" t="s">
        <v>123</v>
      </c>
      <c r="J526" t="s">
        <v>124</v>
      </c>
      <c r="N526" s="17" t="s">
        <v>157</v>
      </c>
      <c r="AE526">
        <v>0</v>
      </c>
      <c r="AF526">
        <v>0</v>
      </c>
      <c r="AG526">
        <v>0</v>
      </c>
      <c r="AR526">
        <v>0</v>
      </c>
      <c r="AS526">
        <v>0</v>
      </c>
      <c r="AT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</row>
    <row r="527" spans="1:92" x14ac:dyDescent="0.3">
      <c r="A527" s="22" t="s">
        <v>465</v>
      </c>
      <c r="B527" t="s">
        <v>108</v>
      </c>
      <c r="C527" t="s">
        <v>238</v>
      </c>
      <c r="D527">
        <v>482620</v>
      </c>
      <c r="E527" t="s">
        <v>252</v>
      </c>
      <c r="F527" t="s">
        <v>253</v>
      </c>
      <c r="G527" t="s">
        <v>112</v>
      </c>
      <c r="H527" t="s">
        <v>136</v>
      </c>
      <c r="I527" t="s">
        <v>123</v>
      </c>
      <c r="J527" t="s">
        <v>124</v>
      </c>
      <c r="N527" s="17" t="s">
        <v>163</v>
      </c>
      <c r="AE527">
        <v>0</v>
      </c>
      <c r="AF527">
        <v>0</v>
      </c>
      <c r="AG527">
        <v>0</v>
      </c>
      <c r="AR527">
        <v>0</v>
      </c>
      <c r="AS527">
        <v>0</v>
      </c>
      <c r="AT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</row>
    <row r="528" spans="1:92" x14ac:dyDescent="0.3">
      <c r="A528" s="22" t="s">
        <v>465</v>
      </c>
      <c r="B528" t="s">
        <v>108</v>
      </c>
      <c r="C528" t="s">
        <v>256</v>
      </c>
      <c r="D528">
        <v>410229</v>
      </c>
      <c r="E528" t="s">
        <v>259</v>
      </c>
      <c r="F528" t="s">
        <v>477</v>
      </c>
      <c r="G528" t="s">
        <v>112</v>
      </c>
      <c r="H528" t="s">
        <v>261</v>
      </c>
      <c r="I528" t="s">
        <v>123</v>
      </c>
      <c r="J528" t="s">
        <v>124</v>
      </c>
      <c r="N528" s="17" t="s">
        <v>126</v>
      </c>
      <c r="AE528">
        <v>0</v>
      </c>
      <c r="AF528">
        <v>0</v>
      </c>
      <c r="AG528">
        <v>0</v>
      </c>
      <c r="AR528">
        <v>0</v>
      </c>
      <c r="AS528">
        <v>0</v>
      </c>
      <c r="AT528">
        <v>0</v>
      </c>
      <c r="AU528">
        <v>8</v>
      </c>
      <c r="AV528">
        <v>11</v>
      </c>
      <c r="AW528">
        <v>11</v>
      </c>
      <c r="AX528">
        <v>15</v>
      </c>
      <c r="AY528">
        <v>4</v>
      </c>
      <c r="AZ528">
        <v>10</v>
      </c>
      <c r="BA528">
        <v>0</v>
      </c>
      <c r="BB528">
        <v>3</v>
      </c>
      <c r="BC528">
        <v>0</v>
      </c>
      <c r="BD528">
        <v>0</v>
      </c>
      <c r="BE528">
        <v>19</v>
      </c>
      <c r="BF528">
        <v>18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Q528">
        <v>5</v>
      </c>
      <c r="BR528">
        <v>13</v>
      </c>
      <c r="BS528">
        <v>19</v>
      </c>
      <c r="BT528">
        <v>19</v>
      </c>
      <c r="BU528">
        <v>17</v>
      </c>
      <c r="BV528">
        <v>13</v>
      </c>
      <c r="BW528">
        <v>2</v>
      </c>
      <c r="BX528">
        <v>2</v>
      </c>
      <c r="BY528">
        <v>0</v>
      </c>
      <c r="BZ528">
        <v>0</v>
      </c>
      <c r="CA528">
        <v>23</v>
      </c>
      <c r="CB528">
        <v>17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108</v>
      </c>
      <c r="CJ528">
        <v>121</v>
      </c>
      <c r="CK528">
        <v>229</v>
      </c>
      <c r="CL528">
        <v>108</v>
      </c>
      <c r="CM528">
        <v>121</v>
      </c>
      <c r="CN528">
        <v>229</v>
      </c>
    </row>
    <row r="529" spans="1:92" x14ac:dyDescent="0.3">
      <c r="A529" s="22" t="s">
        <v>465</v>
      </c>
      <c r="B529" t="s">
        <v>108</v>
      </c>
      <c r="C529" t="s">
        <v>262</v>
      </c>
      <c r="D529">
        <v>136520</v>
      </c>
      <c r="E529" t="s">
        <v>263</v>
      </c>
      <c r="F529" t="s">
        <v>418</v>
      </c>
      <c r="G529" t="s">
        <v>112</v>
      </c>
      <c r="H529" t="s">
        <v>138</v>
      </c>
      <c r="I529" t="s">
        <v>114</v>
      </c>
      <c r="J529" t="s">
        <v>115</v>
      </c>
      <c r="N529" s="17" t="s">
        <v>163</v>
      </c>
      <c r="O529">
        <v>1</v>
      </c>
      <c r="P529">
        <v>0</v>
      </c>
      <c r="Q529">
        <v>0</v>
      </c>
      <c r="R529">
        <v>0</v>
      </c>
      <c r="S529">
        <v>3</v>
      </c>
      <c r="T529">
        <v>4</v>
      </c>
      <c r="U529">
        <v>2</v>
      </c>
      <c r="V529">
        <v>0</v>
      </c>
      <c r="W529">
        <v>1</v>
      </c>
      <c r="X529">
        <v>1</v>
      </c>
      <c r="Y529">
        <v>1</v>
      </c>
      <c r="Z529">
        <v>2</v>
      </c>
      <c r="AA529">
        <v>2</v>
      </c>
      <c r="AB529">
        <v>1</v>
      </c>
      <c r="AC529">
        <v>0</v>
      </c>
      <c r="AD529">
        <v>0</v>
      </c>
      <c r="AE529">
        <v>10</v>
      </c>
      <c r="AF529">
        <v>8</v>
      </c>
      <c r="AG529">
        <v>18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CI529">
        <v>0</v>
      </c>
      <c r="CJ529">
        <v>0</v>
      </c>
      <c r="CK529">
        <v>0</v>
      </c>
      <c r="CL529">
        <v>10</v>
      </c>
      <c r="CM529">
        <v>8</v>
      </c>
      <c r="CN529">
        <v>18</v>
      </c>
    </row>
    <row r="530" spans="1:92" x14ac:dyDescent="0.3">
      <c r="A530" s="22" t="s">
        <v>465</v>
      </c>
      <c r="B530" t="s">
        <v>108</v>
      </c>
      <c r="C530" t="s">
        <v>262</v>
      </c>
      <c r="D530">
        <v>136521</v>
      </c>
      <c r="E530" t="s">
        <v>265</v>
      </c>
      <c r="F530" t="s">
        <v>266</v>
      </c>
      <c r="G530" t="s">
        <v>112</v>
      </c>
      <c r="H530" t="s">
        <v>138</v>
      </c>
      <c r="I530" t="s">
        <v>114</v>
      </c>
      <c r="J530" t="s">
        <v>115</v>
      </c>
      <c r="N530" s="17" t="s">
        <v>163</v>
      </c>
      <c r="AE530">
        <v>0</v>
      </c>
      <c r="AF530">
        <v>0</v>
      </c>
      <c r="AG530">
        <v>0</v>
      </c>
      <c r="AR530">
        <v>0</v>
      </c>
      <c r="AS530">
        <v>0</v>
      </c>
      <c r="AT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</row>
    <row r="531" spans="1:92" x14ac:dyDescent="0.3">
      <c r="A531" s="22" t="s">
        <v>465</v>
      </c>
      <c r="B531" t="s">
        <v>108</v>
      </c>
      <c r="C531" t="s">
        <v>262</v>
      </c>
      <c r="D531">
        <v>136523</v>
      </c>
      <c r="E531" t="s">
        <v>267</v>
      </c>
      <c r="F531" t="s">
        <v>268</v>
      </c>
      <c r="G531" t="s">
        <v>112</v>
      </c>
      <c r="H531" t="s">
        <v>147</v>
      </c>
      <c r="I531" t="s">
        <v>114</v>
      </c>
      <c r="J531" t="s">
        <v>115</v>
      </c>
      <c r="N531" s="17" t="s">
        <v>163</v>
      </c>
      <c r="O531">
        <v>5</v>
      </c>
      <c r="P531">
        <v>1</v>
      </c>
      <c r="Q531">
        <v>1</v>
      </c>
      <c r="R531">
        <v>2</v>
      </c>
      <c r="S531">
        <v>1</v>
      </c>
      <c r="T531">
        <v>1</v>
      </c>
      <c r="U531">
        <v>5</v>
      </c>
      <c r="V531">
        <v>9</v>
      </c>
      <c r="W531">
        <v>8</v>
      </c>
      <c r="X531">
        <v>3</v>
      </c>
      <c r="Y531">
        <v>6</v>
      </c>
      <c r="Z531">
        <v>9</v>
      </c>
      <c r="AA531">
        <v>8</v>
      </c>
      <c r="AB531">
        <v>6</v>
      </c>
      <c r="AC531">
        <v>0</v>
      </c>
      <c r="AD531">
        <v>2</v>
      </c>
      <c r="AE531">
        <v>34</v>
      </c>
      <c r="AF531">
        <v>33</v>
      </c>
      <c r="AG531">
        <v>67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CI531">
        <v>0</v>
      </c>
      <c r="CJ531">
        <v>0</v>
      </c>
      <c r="CK531">
        <v>0</v>
      </c>
      <c r="CL531">
        <v>34</v>
      </c>
      <c r="CM531">
        <v>33</v>
      </c>
      <c r="CN531">
        <v>67</v>
      </c>
    </row>
    <row r="532" spans="1:92" x14ac:dyDescent="0.3">
      <c r="A532" s="22" t="s">
        <v>465</v>
      </c>
      <c r="B532" t="s">
        <v>108</v>
      </c>
      <c r="C532" t="s">
        <v>262</v>
      </c>
      <c r="D532">
        <v>136525</v>
      </c>
      <c r="E532" t="s">
        <v>269</v>
      </c>
      <c r="F532" t="s">
        <v>270</v>
      </c>
      <c r="G532" t="s">
        <v>112</v>
      </c>
      <c r="H532" t="s">
        <v>147</v>
      </c>
      <c r="I532" t="s">
        <v>114</v>
      </c>
      <c r="J532" t="s">
        <v>115</v>
      </c>
      <c r="N532" s="17" t="s">
        <v>163</v>
      </c>
      <c r="O532">
        <v>1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0</v>
      </c>
      <c r="AD532">
        <v>0</v>
      </c>
      <c r="AE532">
        <v>1</v>
      </c>
      <c r="AF532">
        <v>4</v>
      </c>
      <c r="AG532">
        <v>5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CI532">
        <v>0</v>
      </c>
      <c r="CJ532">
        <v>0</v>
      </c>
      <c r="CK532">
        <v>0</v>
      </c>
      <c r="CL532">
        <v>1</v>
      </c>
      <c r="CM532">
        <v>4</v>
      </c>
      <c r="CN532">
        <v>5</v>
      </c>
    </row>
    <row r="533" spans="1:92" x14ac:dyDescent="0.3">
      <c r="A533" s="22" t="s">
        <v>465</v>
      </c>
      <c r="B533" t="s">
        <v>108</v>
      </c>
      <c r="C533" t="s">
        <v>262</v>
      </c>
      <c r="D533">
        <v>482834</v>
      </c>
      <c r="E533" t="s">
        <v>277</v>
      </c>
      <c r="F533" t="s">
        <v>278</v>
      </c>
      <c r="G533" t="s">
        <v>112</v>
      </c>
      <c r="H533" t="s">
        <v>147</v>
      </c>
      <c r="I533" t="s">
        <v>123</v>
      </c>
      <c r="J533" t="s">
        <v>124</v>
      </c>
      <c r="N533" s="17" t="s">
        <v>163</v>
      </c>
      <c r="AE533">
        <v>0</v>
      </c>
      <c r="AF533">
        <v>0</v>
      </c>
      <c r="AG533">
        <v>0</v>
      </c>
      <c r="AR533">
        <v>0</v>
      </c>
      <c r="AS533">
        <v>0</v>
      </c>
      <c r="AT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</row>
    <row r="534" spans="1:92" x14ac:dyDescent="0.3">
      <c r="A534" s="22" t="s">
        <v>465</v>
      </c>
      <c r="B534" t="s">
        <v>108</v>
      </c>
      <c r="C534" t="s">
        <v>262</v>
      </c>
      <c r="D534">
        <v>482835</v>
      </c>
      <c r="E534" t="s">
        <v>279</v>
      </c>
      <c r="F534" t="s">
        <v>280</v>
      </c>
      <c r="G534" t="s">
        <v>112</v>
      </c>
      <c r="H534" t="s">
        <v>147</v>
      </c>
      <c r="I534" t="s">
        <v>123</v>
      </c>
      <c r="J534" t="s">
        <v>124</v>
      </c>
      <c r="N534" s="17" t="s">
        <v>163</v>
      </c>
      <c r="AE534">
        <v>0</v>
      </c>
      <c r="AF534">
        <v>0</v>
      </c>
      <c r="AG534">
        <v>0</v>
      </c>
      <c r="AR534">
        <v>0</v>
      </c>
      <c r="AS534">
        <v>0</v>
      </c>
      <c r="AT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</row>
    <row r="535" spans="1:92" x14ac:dyDescent="0.3">
      <c r="A535" s="22" t="s">
        <v>465</v>
      </c>
      <c r="B535" t="s">
        <v>108</v>
      </c>
      <c r="C535" t="s">
        <v>262</v>
      </c>
      <c r="D535">
        <v>482929</v>
      </c>
      <c r="E535" t="s">
        <v>283</v>
      </c>
      <c r="F535" t="s">
        <v>284</v>
      </c>
      <c r="G535" t="s">
        <v>112</v>
      </c>
      <c r="H535" t="s">
        <v>138</v>
      </c>
      <c r="I535" t="s">
        <v>123</v>
      </c>
      <c r="J535" t="s">
        <v>124</v>
      </c>
      <c r="N535" s="17" t="s">
        <v>151</v>
      </c>
      <c r="AE535">
        <v>0</v>
      </c>
      <c r="AF535">
        <v>0</v>
      </c>
      <c r="AG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2</v>
      </c>
      <c r="CJ535">
        <v>0</v>
      </c>
      <c r="CK535">
        <v>2</v>
      </c>
      <c r="CL535">
        <v>2</v>
      </c>
      <c r="CM535">
        <v>0</v>
      </c>
      <c r="CN535">
        <v>2</v>
      </c>
    </row>
    <row r="536" spans="1:92" x14ac:dyDescent="0.3">
      <c r="A536" s="22" t="s">
        <v>465</v>
      </c>
      <c r="B536" t="s">
        <v>108</v>
      </c>
      <c r="C536" t="s">
        <v>262</v>
      </c>
      <c r="D536">
        <v>482941</v>
      </c>
      <c r="E536" t="s">
        <v>285</v>
      </c>
      <c r="F536" t="s">
        <v>286</v>
      </c>
      <c r="G536" t="s">
        <v>112</v>
      </c>
      <c r="H536" t="s">
        <v>147</v>
      </c>
      <c r="I536" t="s">
        <v>123</v>
      </c>
      <c r="J536" t="s">
        <v>124</v>
      </c>
      <c r="N536" s="17" t="s">
        <v>157</v>
      </c>
      <c r="AE536">
        <v>0</v>
      </c>
      <c r="AF536">
        <v>0</v>
      </c>
      <c r="AG536">
        <v>0</v>
      </c>
      <c r="AR536">
        <v>0</v>
      </c>
      <c r="AS536">
        <v>0</v>
      </c>
      <c r="AT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</row>
    <row r="537" spans="1:92" x14ac:dyDescent="0.3">
      <c r="A537" s="22" t="s">
        <v>465</v>
      </c>
      <c r="B537" t="s">
        <v>108</v>
      </c>
      <c r="C537" t="s">
        <v>289</v>
      </c>
      <c r="D537">
        <v>136527</v>
      </c>
      <c r="E537" t="s">
        <v>290</v>
      </c>
      <c r="F537" t="s">
        <v>291</v>
      </c>
      <c r="G537" t="s">
        <v>112</v>
      </c>
      <c r="H537" t="s">
        <v>174</v>
      </c>
      <c r="I537" t="s">
        <v>114</v>
      </c>
      <c r="J537" t="s">
        <v>115</v>
      </c>
      <c r="N537" s="17" t="s">
        <v>163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4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4</v>
      </c>
      <c r="AC537">
        <v>0</v>
      </c>
      <c r="AD537">
        <v>0</v>
      </c>
      <c r="AE537">
        <v>8</v>
      </c>
      <c r="AF537">
        <v>7</v>
      </c>
      <c r="AG537">
        <v>15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CI537">
        <v>0</v>
      </c>
      <c r="CJ537">
        <v>0</v>
      </c>
      <c r="CK537">
        <v>0</v>
      </c>
      <c r="CL537">
        <v>8</v>
      </c>
      <c r="CM537">
        <v>7</v>
      </c>
      <c r="CN537">
        <v>15</v>
      </c>
    </row>
    <row r="538" spans="1:92" x14ac:dyDescent="0.3">
      <c r="A538" s="22" t="s">
        <v>465</v>
      </c>
      <c r="B538" t="s">
        <v>108</v>
      </c>
      <c r="C538" t="s">
        <v>289</v>
      </c>
      <c r="D538">
        <v>136528</v>
      </c>
      <c r="E538" t="s">
        <v>292</v>
      </c>
      <c r="F538" t="s">
        <v>293</v>
      </c>
      <c r="G538" t="s">
        <v>112</v>
      </c>
      <c r="H538" t="s">
        <v>133</v>
      </c>
      <c r="I538" t="s">
        <v>114</v>
      </c>
      <c r="J538" t="s">
        <v>115</v>
      </c>
      <c r="N538" s="17" t="s">
        <v>163</v>
      </c>
      <c r="O538">
        <v>15</v>
      </c>
      <c r="P538">
        <v>8</v>
      </c>
      <c r="Q538">
        <v>18</v>
      </c>
      <c r="R538">
        <v>14</v>
      </c>
      <c r="S538">
        <v>12</v>
      </c>
      <c r="T538">
        <v>14</v>
      </c>
      <c r="U538">
        <v>23</v>
      </c>
      <c r="V538">
        <v>33</v>
      </c>
      <c r="W538">
        <v>35</v>
      </c>
      <c r="X538">
        <v>25</v>
      </c>
      <c r="Y538">
        <v>39</v>
      </c>
      <c r="Z538">
        <v>34</v>
      </c>
      <c r="AA538">
        <v>59</v>
      </c>
      <c r="AB538">
        <v>59</v>
      </c>
      <c r="AC538">
        <v>0</v>
      </c>
      <c r="AD538">
        <v>1</v>
      </c>
      <c r="AE538">
        <v>201</v>
      </c>
      <c r="AF538">
        <v>188</v>
      </c>
      <c r="AG538">
        <v>389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CI538">
        <v>0</v>
      </c>
      <c r="CJ538">
        <v>0</v>
      </c>
      <c r="CK538">
        <v>0</v>
      </c>
      <c r="CL538">
        <v>201</v>
      </c>
      <c r="CM538">
        <v>188</v>
      </c>
      <c r="CN538">
        <v>389</v>
      </c>
    </row>
    <row r="539" spans="1:92" x14ac:dyDescent="0.3">
      <c r="A539" s="22" t="s">
        <v>465</v>
      </c>
      <c r="B539" t="s">
        <v>108</v>
      </c>
      <c r="C539" t="s">
        <v>289</v>
      </c>
      <c r="D539">
        <v>136529</v>
      </c>
      <c r="E539" t="s">
        <v>294</v>
      </c>
      <c r="F539" t="s">
        <v>295</v>
      </c>
      <c r="G539" t="s">
        <v>112</v>
      </c>
      <c r="H539" t="s">
        <v>113</v>
      </c>
      <c r="I539" t="s">
        <v>114</v>
      </c>
      <c r="J539" t="s">
        <v>115</v>
      </c>
      <c r="N539" s="17" t="s">
        <v>163</v>
      </c>
      <c r="O539">
        <v>0</v>
      </c>
      <c r="P539">
        <v>0</v>
      </c>
      <c r="Q539">
        <v>3</v>
      </c>
      <c r="R539">
        <v>1</v>
      </c>
      <c r="S539">
        <v>3</v>
      </c>
      <c r="T539">
        <v>3</v>
      </c>
      <c r="U539">
        <v>3</v>
      </c>
      <c r="V539">
        <v>5</v>
      </c>
      <c r="W539">
        <v>1</v>
      </c>
      <c r="X539">
        <v>2</v>
      </c>
      <c r="Y539">
        <v>7</v>
      </c>
      <c r="Z539">
        <v>9</v>
      </c>
      <c r="AA539">
        <v>7</v>
      </c>
      <c r="AB539">
        <v>12</v>
      </c>
      <c r="AC539">
        <v>0</v>
      </c>
      <c r="AD539">
        <v>1</v>
      </c>
      <c r="AE539">
        <v>24</v>
      </c>
      <c r="AF539">
        <v>33</v>
      </c>
      <c r="AG539">
        <v>57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CI539">
        <v>0</v>
      </c>
      <c r="CJ539">
        <v>0</v>
      </c>
      <c r="CK539">
        <v>0</v>
      </c>
      <c r="CL539">
        <v>24</v>
      </c>
      <c r="CM539">
        <v>33</v>
      </c>
      <c r="CN539">
        <v>57</v>
      </c>
    </row>
    <row r="540" spans="1:92" x14ac:dyDescent="0.3">
      <c r="A540" s="22" t="s">
        <v>465</v>
      </c>
      <c r="B540" t="s">
        <v>108</v>
      </c>
      <c r="C540" t="s">
        <v>289</v>
      </c>
      <c r="D540">
        <v>136530</v>
      </c>
      <c r="E540" t="s">
        <v>296</v>
      </c>
      <c r="F540" t="s">
        <v>297</v>
      </c>
      <c r="G540" t="s">
        <v>112</v>
      </c>
      <c r="H540" t="s">
        <v>261</v>
      </c>
      <c r="I540" t="s">
        <v>114</v>
      </c>
      <c r="J540" t="s">
        <v>115</v>
      </c>
      <c r="N540" s="17" t="s">
        <v>163</v>
      </c>
      <c r="O540">
        <v>2</v>
      </c>
      <c r="P540">
        <v>1</v>
      </c>
      <c r="Q540">
        <v>2</v>
      </c>
      <c r="R540">
        <v>0</v>
      </c>
      <c r="S540">
        <v>2</v>
      </c>
      <c r="T540">
        <v>2</v>
      </c>
      <c r="U540">
        <v>3</v>
      </c>
      <c r="V540">
        <v>1</v>
      </c>
      <c r="W540">
        <v>6</v>
      </c>
      <c r="X540">
        <v>4</v>
      </c>
      <c r="Y540">
        <v>0</v>
      </c>
      <c r="Z540">
        <v>4</v>
      </c>
      <c r="AA540">
        <v>9</v>
      </c>
      <c r="AB540">
        <v>10</v>
      </c>
      <c r="AC540">
        <v>0</v>
      </c>
      <c r="AD540">
        <v>0</v>
      </c>
      <c r="AE540">
        <v>24</v>
      </c>
      <c r="AF540">
        <v>22</v>
      </c>
      <c r="AG540">
        <v>46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CI540">
        <v>0</v>
      </c>
      <c r="CJ540">
        <v>0</v>
      </c>
      <c r="CK540">
        <v>0</v>
      </c>
      <c r="CL540">
        <v>24</v>
      </c>
      <c r="CM540">
        <v>22</v>
      </c>
      <c r="CN540">
        <v>46</v>
      </c>
    </row>
    <row r="541" spans="1:92" x14ac:dyDescent="0.3">
      <c r="A541" s="22" t="s">
        <v>465</v>
      </c>
      <c r="B541" t="s">
        <v>108</v>
      </c>
      <c r="C541" t="s">
        <v>289</v>
      </c>
      <c r="D541">
        <v>136538</v>
      </c>
      <c r="E541" t="s">
        <v>298</v>
      </c>
      <c r="F541" t="s">
        <v>299</v>
      </c>
      <c r="G541" t="s">
        <v>112</v>
      </c>
      <c r="H541" t="s">
        <v>169</v>
      </c>
      <c r="I541" t="s">
        <v>114</v>
      </c>
      <c r="J541" t="s">
        <v>115</v>
      </c>
      <c r="N541" s="17" t="s">
        <v>163</v>
      </c>
      <c r="O541">
        <v>0</v>
      </c>
      <c r="P541">
        <v>0</v>
      </c>
      <c r="Q541">
        <v>6</v>
      </c>
      <c r="R541">
        <v>5</v>
      </c>
      <c r="S541">
        <v>2</v>
      </c>
      <c r="T541">
        <v>0</v>
      </c>
      <c r="U541">
        <v>3</v>
      </c>
      <c r="V541">
        <v>3</v>
      </c>
      <c r="W541">
        <v>5</v>
      </c>
      <c r="X541">
        <v>9</v>
      </c>
      <c r="Y541">
        <v>2</v>
      </c>
      <c r="Z541">
        <v>0</v>
      </c>
      <c r="AA541">
        <v>9</v>
      </c>
      <c r="AB541">
        <v>6</v>
      </c>
      <c r="AC541">
        <v>0</v>
      </c>
      <c r="AD541">
        <v>0</v>
      </c>
      <c r="AE541">
        <v>27</v>
      </c>
      <c r="AF541">
        <v>23</v>
      </c>
      <c r="AG541">
        <v>50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CI541">
        <v>0</v>
      </c>
      <c r="CJ541">
        <v>0</v>
      </c>
      <c r="CK541">
        <v>0</v>
      </c>
      <c r="CL541">
        <v>27</v>
      </c>
      <c r="CM541">
        <v>23</v>
      </c>
      <c r="CN541">
        <v>50</v>
      </c>
    </row>
    <row r="542" spans="1:92" x14ac:dyDescent="0.3">
      <c r="A542" s="22" t="s">
        <v>465</v>
      </c>
      <c r="B542" t="s">
        <v>108</v>
      </c>
      <c r="C542" t="s">
        <v>289</v>
      </c>
      <c r="D542">
        <v>340697</v>
      </c>
      <c r="E542" t="s">
        <v>300</v>
      </c>
      <c r="F542" t="s">
        <v>301</v>
      </c>
      <c r="G542" t="s">
        <v>112</v>
      </c>
      <c r="H542" t="s">
        <v>133</v>
      </c>
      <c r="I542" t="s">
        <v>114</v>
      </c>
      <c r="J542" t="s">
        <v>115</v>
      </c>
      <c r="N542" s="17" t="s">
        <v>126</v>
      </c>
      <c r="AE542">
        <v>0</v>
      </c>
      <c r="AF542">
        <v>0</v>
      </c>
      <c r="AG542">
        <v>0</v>
      </c>
      <c r="AR542">
        <v>0</v>
      </c>
      <c r="AS542">
        <v>0</v>
      </c>
      <c r="AT542">
        <v>0</v>
      </c>
      <c r="AU542">
        <v>1</v>
      </c>
      <c r="AV542">
        <v>1</v>
      </c>
      <c r="AW542">
        <v>3</v>
      </c>
      <c r="AX542">
        <v>5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7</v>
      </c>
      <c r="BF542">
        <v>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Q542">
        <v>0</v>
      </c>
      <c r="BR542">
        <v>0</v>
      </c>
      <c r="BS542">
        <v>5</v>
      </c>
      <c r="BT542">
        <v>8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</v>
      </c>
      <c r="CB542">
        <v>4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21</v>
      </c>
      <c r="CJ542">
        <v>23</v>
      </c>
      <c r="CK542">
        <v>44</v>
      </c>
      <c r="CL542">
        <v>21</v>
      </c>
      <c r="CM542">
        <v>23</v>
      </c>
      <c r="CN542">
        <v>44</v>
      </c>
    </row>
    <row r="543" spans="1:92" x14ac:dyDescent="0.3">
      <c r="A543" s="22" t="s">
        <v>465</v>
      </c>
      <c r="B543" t="s">
        <v>108</v>
      </c>
      <c r="C543" t="s">
        <v>289</v>
      </c>
      <c r="D543">
        <v>409329</v>
      </c>
      <c r="E543" t="s">
        <v>302</v>
      </c>
      <c r="F543" t="s">
        <v>303</v>
      </c>
      <c r="G543" t="s">
        <v>112</v>
      </c>
      <c r="H543" t="s">
        <v>217</v>
      </c>
      <c r="I543" t="s">
        <v>123</v>
      </c>
      <c r="J543" t="s">
        <v>124</v>
      </c>
      <c r="N543" s="17" t="s">
        <v>163</v>
      </c>
      <c r="AE543">
        <v>0</v>
      </c>
      <c r="AF543">
        <v>0</v>
      </c>
      <c r="AG543">
        <v>0</v>
      </c>
      <c r="AR543">
        <v>0</v>
      </c>
      <c r="AS543">
        <v>0</v>
      </c>
      <c r="AT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</row>
    <row r="544" spans="1:92" x14ac:dyDescent="0.3">
      <c r="A544" s="22" t="s">
        <v>465</v>
      </c>
      <c r="B544" t="s">
        <v>108</v>
      </c>
      <c r="C544" t="s">
        <v>289</v>
      </c>
      <c r="D544">
        <v>409731</v>
      </c>
      <c r="E544" t="s">
        <v>304</v>
      </c>
      <c r="F544" t="s">
        <v>305</v>
      </c>
      <c r="G544" t="s">
        <v>112</v>
      </c>
      <c r="H544" t="s">
        <v>113</v>
      </c>
      <c r="I544" t="s">
        <v>123</v>
      </c>
      <c r="J544" t="s">
        <v>124</v>
      </c>
      <c r="N544" s="17" t="s">
        <v>163</v>
      </c>
      <c r="AE544">
        <v>0</v>
      </c>
      <c r="AF544">
        <v>0</v>
      </c>
      <c r="AG544">
        <v>0</v>
      </c>
      <c r="AR544">
        <v>0</v>
      </c>
      <c r="AS544">
        <v>0</v>
      </c>
      <c r="AT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</row>
    <row r="545" spans="1:92" x14ac:dyDescent="0.3">
      <c r="A545" s="22" t="s">
        <v>465</v>
      </c>
      <c r="B545" t="s">
        <v>108</v>
      </c>
      <c r="C545" t="s">
        <v>289</v>
      </c>
      <c r="D545">
        <v>409737</v>
      </c>
      <c r="E545" t="s">
        <v>306</v>
      </c>
      <c r="F545" t="s">
        <v>505</v>
      </c>
      <c r="G545" t="s">
        <v>112</v>
      </c>
      <c r="H545" t="s">
        <v>133</v>
      </c>
      <c r="I545" t="s">
        <v>123</v>
      </c>
      <c r="J545" t="s">
        <v>124</v>
      </c>
      <c r="N545" s="17" t="s">
        <v>126</v>
      </c>
      <c r="AE545">
        <v>0</v>
      </c>
      <c r="AF545">
        <v>0</v>
      </c>
      <c r="AG545">
        <v>0</v>
      </c>
      <c r="AR545">
        <v>0</v>
      </c>
      <c r="AS545">
        <v>0</v>
      </c>
      <c r="AT545">
        <v>0</v>
      </c>
      <c r="AU545">
        <v>1</v>
      </c>
      <c r="AV545">
        <v>9</v>
      </c>
      <c r="AW545">
        <v>3</v>
      </c>
      <c r="AX545">
        <v>6</v>
      </c>
      <c r="AY545">
        <v>2</v>
      </c>
      <c r="AZ545">
        <v>7</v>
      </c>
      <c r="BA545">
        <v>0</v>
      </c>
      <c r="BB545">
        <v>3</v>
      </c>
      <c r="BC545">
        <v>0</v>
      </c>
      <c r="BD545">
        <v>0</v>
      </c>
      <c r="BE545">
        <v>4</v>
      </c>
      <c r="BF545">
        <v>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Q545">
        <v>3</v>
      </c>
      <c r="BR545">
        <v>6</v>
      </c>
      <c r="BS545">
        <v>6</v>
      </c>
      <c r="BT545">
        <v>6</v>
      </c>
      <c r="BU545">
        <v>4</v>
      </c>
      <c r="BV545">
        <v>8</v>
      </c>
      <c r="BW545">
        <v>0</v>
      </c>
      <c r="BX545">
        <v>1</v>
      </c>
      <c r="BY545">
        <v>0</v>
      </c>
      <c r="BZ545">
        <v>0</v>
      </c>
      <c r="CA545">
        <v>7</v>
      </c>
      <c r="CB545">
        <v>9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30</v>
      </c>
      <c r="CJ545">
        <v>61</v>
      </c>
      <c r="CK545">
        <v>91</v>
      </c>
      <c r="CL545">
        <v>30</v>
      </c>
      <c r="CM545">
        <v>61</v>
      </c>
      <c r="CN545">
        <v>91</v>
      </c>
    </row>
    <row r="546" spans="1:92" x14ac:dyDescent="0.3">
      <c r="A546" s="22" t="s">
        <v>465</v>
      </c>
      <c r="B546" t="s">
        <v>108</v>
      </c>
      <c r="C546" t="s">
        <v>289</v>
      </c>
      <c r="D546">
        <v>482836</v>
      </c>
      <c r="E546" t="s">
        <v>310</v>
      </c>
      <c r="F546" t="s">
        <v>311</v>
      </c>
      <c r="G546" t="s">
        <v>112</v>
      </c>
      <c r="H546" t="s">
        <v>174</v>
      </c>
      <c r="I546" t="s">
        <v>123</v>
      </c>
      <c r="J546" t="s">
        <v>124</v>
      </c>
      <c r="N546" s="17" t="s">
        <v>163</v>
      </c>
      <c r="AE546">
        <v>0</v>
      </c>
      <c r="AF546">
        <v>0</v>
      </c>
      <c r="AG546">
        <v>0</v>
      </c>
      <c r="AR546">
        <v>0</v>
      </c>
      <c r="AS546">
        <v>0</v>
      </c>
      <c r="AT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</row>
    <row r="547" spans="1:92" x14ac:dyDescent="0.3">
      <c r="A547" s="22" t="s">
        <v>465</v>
      </c>
      <c r="B547" t="s">
        <v>108</v>
      </c>
      <c r="C547" t="s">
        <v>289</v>
      </c>
      <c r="D547">
        <v>482887</v>
      </c>
      <c r="E547" t="s">
        <v>312</v>
      </c>
      <c r="F547" t="s">
        <v>313</v>
      </c>
      <c r="G547" t="s">
        <v>112</v>
      </c>
      <c r="H547" t="s">
        <v>113</v>
      </c>
      <c r="I547" t="s">
        <v>123</v>
      </c>
      <c r="J547" t="s">
        <v>124</v>
      </c>
      <c r="N547" s="17" t="s">
        <v>163</v>
      </c>
      <c r="AE547">
        <v>0</v>
      </c>
      <c r="AF547">
        <v>0</v>
      </c>
      <c r="AG547">
        <v>0</v>
      </c>
      <c r="AR547">
        <v>0</v>
      </c>
      <c r="AS547">
        <v>0</v>
      </c>
      <c r="AT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</row>
    <row r="548" spans="1:92" x14ac:dyDescent="0.3">
      <c r="A548" s="22" t="s">
        <v>465</v>
      </c>
      <c r="B548" t="s">
        <v>108</v>
      </c>
      <c r="C548" t="s">
        <v>289</v>
      </c>
      <c r="D548">
        <v>482890</v>
      </c>
      <c r="E548" t="s">
        <v>316</v>
      </c>
      <c r="F548" t="s">
        <v>317</v>
      </c>
      <c r="G548" t="s">
        <v>112</v>
      </c>
      <c r="H548" t="s">
        <v>261</v>
      </c>
      <c r="I548" t="s">
        <v>123</v>
      </c>
      <c r="J548" t="s">
        <v>124</v>
      </c>
      <c r="N548" s="17" t="s">
        <v>163</v>
      </c>
      <c r="AE548">
        <v>0</v>
      </c>
      <c r="AF548">
        <v>0</v>
      </c>
      <c r="AG548">
        <v>0</v>
      </c>
      <c r="AR548">
        <v>0</v>
      </c>
      <c r="AS548">
        <v>0</v>
      </c>
      <c r="AT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</row>
    <row r="549" spans="1:92" x14ac:dyDescent="0.3">
      <c r="A549" s="22" t="s">
        <v>465</v>
      </c>
      <c r="B549" t="s">
        <v>108</v>
      </c>
      <c r="C549" t="s">
        <v>289</v>
      </c>
      <c r="D549">
        <v>482963</v>
      </c>
      <c r="E549" t="s">
        <v>324</v>
      </c>
      <c r="F549" t="s">
        <v>325</v>
      </c>
      <c r="G549" t="s">
        <v>112</v>
      </c>
      <c r="H549" t="s">
        <v>113</v>
      </c>
      <c r="I549" t="s">
        <v>123</v>
      </c>
      <c r="J549" t="s">
        <v>124</v>
      </c>
      <c r="N549" s="17" t="s">
        <v>163</v>
      </c>
      <c r="AE549">
        <v>0</v>
      </c>
      <c r="AF549">
        <v>0</v>
      </c>
      <c r="AG549">
        <v>0</v>
      </c>
      <c r="AR549">
        <v>0</v>
      </c>
      <c r="AS549">
        <v>0</v>
      </c>
      <c r="AT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</row>
    <row r="550" spans="1:92" x14ac:dyDescent="0.3">
      <c r="A550" s="22" t="s">
        <v>465</v>
      </c>
      <c r="B550" t="s">
        <v>108</v>
      </c>
      <c r="C550" t="s">
        <v>289</v>
      </c>
      <c r="D550">
        <v>482978</v>
      </c>
      <c r="E550" t="s">
        <v>326</v>
      </c>
      <c r="F550" t="s">
        <v>327</v>
      </c>
      <c r="G550" t="s">
        <v>112</v>
      </c>
      <c r="H550" t="s">
        <v>113</v>
      </c>
      <c r="I550" t="s">
        <v>123</v>
      </c>
      <c r="J550" t="s">
        <v>124</v>
      </c>
      <c r="N550" s="17" t="s">
        <v>163</v>
      </c>
      <c r="AE550">
        <v>0</v>
      </c>
      <c r="AF550">
        <v>0</v>
      </c>
      <c r="AG550">
        <v>0</v>
      </c>
      <c r="AR550">
        <v>0</v>
      </c>
      <c r="AS550">
        <v>0</v>
      </c>
      <c r="AT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</row>
    <row r="551" spans="1:92" x14ac:dyDescent="0.3">
      <c r="A551" s="22" t="s">
        <v>465</v>
      </c>
      <c r="B551" t="s">
        <v>108</v>
      </c>
      <c r="C551" t="s">
        <v>332</v>
      </c>
      <c r="D551">
        <v>136531</v>
      </c>
      <c r="E551" t="s">
        <v>333</v>
      </c>
      <c r="F551" t="s">
        <v>419</v>
      </c>
      <c r="G551" t="s">
        <v>112</v>
      </c>
      <c r="H551" t="s">
        <v>217</v>
      </c>
      <c r="I551" t="s">
        <v>114</v>
      </c>
      <c r="J551" t="s">
        <v>115</v>
      </c>
      <c r="N551" s="17" t="s">
        <v>163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CI551">
        <v>0</v>
      </c>
      <c r="CJ551">
        <v>0</v>
      </c>
      <c r="CK551">
        <v>0</v>
      </c>
      <c r="CL551">
        <v>1</v>
      </c>
      <c r="CM551">
        <v>1</v>
      </c>
      <c r="CN551">
        <v>2</v>
      </c>
    </row>
    <row r="552" spans="1:92" x14ac:dyDescent="0.3">
      <c r="A552" s="22" t="s">
        <v>465</v>
      </c>
      <c r="B552" t="s">
        <v>108</v>
      </c>
      <c r="C552" t="s">
        <v>332</v>
      </c>
      <c r="D552">
        <v>136532</v>
      </c>
      <c r="E552" t="s">
        <v>335</v>
      </c>
      <c r="F552" t="s">
        <v>336</v>
      </c>
      <c r="G552" t="s">
        <v>112</v>
      </c>
      <c r="H552" t="s">
        <v>122</v>
      </c>
      <c r="I552" t="s">
        <v>114</v>
      </c>
      <c r="J552" t="s">
        <v>115</v>
      </c>
      <c r="N552" s="17" t="s">
        <v>163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2</v>
      </c>
      <c r="U552">
        <v>5</v>
      </c>
      <c r="V552">
        <v>3</v>
      </c>
      <c r="W552">
        <v>2</v>
      </c>
      <c r="X552">
        <v>6</v>
      </c>
      <c r="Y552">
        <v>3</v>
      </c>
      <c r="Z552">
        <v>2</v>
      </c>
      <c r="AA552">
        <v>8</v>
      </c>
      <c r="AB552">
        <v>6</v>
      </c>
      <c r="AC552">
        <v>0</v>
      </c>
      <c r="AD552">
        <v>0</v>
      </c>
      <c r="AE552">
        <v>19</v>
      </c>
      <c r="AF552">
        <v>19</v>
      </c>
      <c r="AG552">
        <v>38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CI552">
        <v>0</v>
      </c>
      <c r="CJ552">
        <v>0</v>
      </c>
      <c r="CK552">
        <v>0</v>
      </c>
      <c r="CL552">
        <v>19</v>
      </c>
      <c r="CM552">
        <v>19</v>
      </c>
      <c r="CN552">
        <v>38</v>
      </c>
    </row>
    <row r="553" spans="1:92" x14ac:dyDescent="0.3">
      <c r="A553" s="22" t="s">
        <v>465</v>
      </c>
      <c r="B553" t="s">
        <v>108</v>
      </c>
      <c r="C553" t="s">
        <v>332</v>
      </c>
      <c r="D553">
        <v>136533</v>
      </c>
      <c r="E553" t="s">
        <v>337</v>
      </c>
      <c r="F553" t="s">
        <v>338</v>
      </c>
      <c r="G553" t="s">
        <v>112</v>
      </c>
      <c r="H553" t="s">
        <v>122</v>
      </c>
      <c r="I553" t="s">
        <v>114</v>
      </c>
      <c r="J553" t="s">
        <v>115</v>
      </c>
      <c r="N553" s="17" t="s">
        <v>163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</v>
      </c>
      <c r="AC553">
        <v>0</v>
      </c>
      <c r="AD553">
        <v>0</v>
      </c>
      <c r="AE553">
        <v>2</v>
      </c>
      <c r="AF553">
        <v>3</v>
      </c>
      <c r="AG553">
        <v>5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CI553">
        <v>0</v>
      </c>
      <c r="CJ553">
        <v>0</v>
      </c>
      <c r="CK553">
        <v>0</v>
      </c>
      <c r="CL553">
        <v>2</v>
      </c>
      <c r="CM553">
        <v>3</v>
      </c>
      <c r="CN553">
        <v>5</v>
      </c>
    </row>
    <row r="554" spans="1:92" x14ac:dyDescent="0.3">
      <c r="A554" s="22" t="s">
        <v>465</v>
      </c>
      <c r="B554" t="s">
        <v>108</v>
      </c>
      <c r="C554" t="s">
        <v>332</v>
      </c>
      <c r="D554">
        <v>136534</v>
      </c>
      <c r="E554" t="s">
        <v>339</v>
      </c>
      <c r="F554" t="s">
        <v>420</v>
      </c>
      <c r="G554" t="s">
        <v>112</v>
      </c>
      <c r="H554" t="s">
        <v>129</v>
      </c>
      <c r="I554" t="s">
        <v>114</v>
      </c>
      <c r="J554" t="s">
        <v>115</v>
      </c>
      <c r="N554" s="17" t="s">
        <v>163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0</v>
      </c>
      <c r="AE554">
        <v>2</v>
      </c>
      <c r="AF554">
        <v>0</v>
      </c>
      <c r="AG554">
        <v>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CI554">
        <v>0</v>
      </c>
      <c r="CJ554">
        <v>0</v>
      </c>
      <c r="CK554">
        <v>0</v>
      </c>
      <c r="CL554">
        <v>2</v>
      </c>
      <c r="CM554">
        <v>0</v>
      </c>
      <c r="CN554">
        <v>2</v>
      </c>
    </row>
    <row r="555" spans="1:92" x14ac:dyDescent="0.3">
      <c r="A555" s="22" t="s">
        <v>465</v>
      </c>
      <c r="B555" t="s">
        <v>108</v>
      </c>
      <c r="C555" t="s">
        <v>332</v>
      </c>
      <c r="D555">
        <v>136535</v>
      </c>
      <c r="E555" t="s">
        <v>341</v>
      </c>
      <c r="F555" t="s">
        <v>342</v>
      </c>
      <c r="G555" t="s">
        <v>112</v>
      </c>
      <c r="H555" t="s">
        <v>186</v>
      </c>
      <c r="I555" t="s">
        <v>114</v>
      </c>
      <c r="J555" t="s">
        <v>115</v>
      </c>
      <c r="N555" s="17" t="s">
        <v>163</v>
      </c>
      <c r="O555">
        <v>5</v>
      </c>
      <c r="P555">
        <v>0</v>
      </c>
      <c r="Q555">
        <v>8</v>
      </c>
      <c r="R555">
        <v>6</v>
      </c>
      <c r="S555">
        <v>15</v>
      </c>
      <c r="T555">
        <v>12</v>
      </c>
      <c r="U555">
        <v>8</v>
      </c>
      <c r="V555">
        <v>9</v>
      </c>
      <c r="W555">
        <v>20</v>
      </c>
      <c r="X555">
        <v>19</v>
      </c>
      <c r="Y555">
        <v>22</v>
      </c>
      <c r="Z555">
        <v>14</v>
      </c>
      <c r="AA555">
        <v>26</v>
      </c>
      <c r="AB555">
        <v>25</v>
      </c>
      <c r="AC555">
        <v>1</v>
      </c>
      <c r="AD555">
        <v>0</v>
      </c>
      <c r="AE555">
        <v>105</v>
      </c>
      <c r="AF555">
        <v>85</v>
      </c>
      <c r="AG555">
        <v>190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CI555">
        <v>0</v>
      </c>
      <c r="CJ555">
        <v>0</v>
      </c>
      <c r="CK555">
        <v>0</v>
      </c>
      <c r="CL555">
        <v>105</v>
      </c>
      <c r="CM555">
        <v>85</v>
      </c>
      <c r="CN555">
        <v>190</v>
      </c>
    </row>
    <row r="556" spans="1:92" x14ac:dyDescent="0.3">
      <c r="A556" s="22" t="s">
        <v>465</v>
      </c>
      <c r="B556" t="s">
        <v>108</v>
      </c>
      <c r="C556" t="s">
        <v>332</v>
      </c>
      <c r="D556">
        <v>136536</v>
      </c>
      <c r="E556" t="s">
        <v>343</v>
      </c>
      <c r="F556" t="s">
        <v>344</v>
      </c>
      <c r="G556" t="s">
        <v>112</v>
      </c>
      <c r="H556" t="s">
        <v>217</v>
      </c>
      <c r="I556" t="s">
        <v>114</v>
      </c>
      <c r="J556" t="s">
        <v>115</v>
      </c>
      <c r="N556" s="17" t="s">
        <v>163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</v>
      </c>
      <c r="X556">
        <v>2</v>
      </c>
      <c r="Y556">
        <v>9</v>
      </c>
      <c r="Z556">
        <v>6</v>
      </c>
      <c r="AA556">
        <v>13</v>
      </c>
      <c r="AB556">
        <v>10</v>
      </c>
      <c r="AC556">
        <v>2</v>
      </c>
      <c r="AD556">
        <v>0</v>
      </c>
      <c r="AE556">
        <v>30</v>
      </c>
      <c r="AF556">
        <v>18</v>
      </c>
      <c r="AG556">
        <v>48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CI556">
        <v>0</v>
      </c>
      <c r="CJ556">
        <v>0</v>
      </c>
      <c r="CK556">
        <v>0</v>
      </c>
      <c r="CL556">
        <v>30</v>
      </c>
      <c r="CM556">
        <v>18</v>
      </c>
      <c r="CN556">
        <v>48</v>
      </c>
    </row>
    <row r="557" spans="1:92" x14ac:dyDescent="0.3">
      <c r="A557" s="22" t="s">
        <v>465</v>
      </c>
      <c r="B557" t="s">
        <v>108</v>
      </c>
      <c r="C557" t="s">
        <v>332</v>
      </c>
      <c r="D557">
        <v>136537</v>
      </c>
      <c r="E557" t="s">
        <v>345</v>
      </c>
      <c r="F557" t="s">
        <v>346</v>
      </c>
      <c r="G557" t="s">
        <v>112</v>
      </c>
      <c r="H557" t="s">
        <v>191</v>
      </c>
      <c r="I557" t="s">
        <v>114</v>
      </c>
      <c r="J557" t="s">
        <v>115</v>
      </c>
      <c r="N557" s="17" t="s">
        <v>163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7</v>
      </c>
      <c r="V557">
        <v>9</v>
      </c>
      <c r="W557">
        <v>1</v>
      </c>
      <c r="X557">
        <v>1</v>
      </c>
      <c r="Y557">
        <v>1</v>
      </c>
      <c r="Z557">
        <v>1</v>
      </c>
      <c r="AA557">
        <v>3</v>
      </c>
      <c r="AB557">
        <v>2</v>
      </c>
      <c r="AC557">
        <v>0</v>
      </c>
      <c r="AD557">
        <v>0</v>
      </c>
      <c r="AE557">
        <v>13</v>
      </c>
      <c r="AF557">
        <v>14</v>
      </c>
      <c r="AG557">
        <v>27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CI557">
        <v>0</v>
      </c>
      <c r="CJ557">
        <v>0</v>
      </c>
      <c r="CK557">
        <v>0</v>
      </c>
      <c r="CL557">
        <v>13</v>
      </c>
      <c r="CM557">
        <v>14</v>
      </c>
      <c r="CN557">
        <v>27</v>
      </c>
    </row>
    <row r="558" spans="1:92" x14ac:dyDescent="0.3">
      <c r="A558" s="22" t="s">
        <v>465</v>
      </c>
      <c r="B558" t="s">
        <v>108</v>
      </c>
      <c r="C558" t="s">
        <v>332</v>
      </c>
      <c r="D558">
        <v>136543</v>
      </c>
      <c r="E558" t="s">
        <v>347</v>
      </c>
      <c r="F558" t="s">
        <v>411</v>
      </c>
      <c r="G558" t="s">
        <v>112</v>
      </c>
      <c r="H558" t="s">
        <v>136</v>
      </c>
      <c r="I558" t="s">
        <v>114</v>
      </c>
      <c r="J558" t="s">
        <v>115</v>
      </c>
      <c r="N558" s="17" t="s">
        <v>163</v>
      </c>
      <c r="O558">
        <v>0</v>
      </c>
      <c r="P558">
        <v>3</v>
      </c>
      <c r="Q558">
        <v>7</v>
      </c>
      <c r="R558">
        <v>3</v>
      </c>
      <c r="S558">
        <v>5</v>
      </c>
      <c r="T558">
        <v>4</v>
      </c>
      <c r="U558">
        <v>1</v>
      </c>
      <c r="V558">
        <v>3</v>
      </c>
      <c r="W558">
        <v>2</v>
      </c>
      <c r="X558">
        <v>0</v>
      </c>
      <c r="Y558">
        <v>3</v>
      </c>
      <c r="Z558">
        <v>6</v>
      </c>
      <c r="AA558">
        <v>1</v>
      </c>
      <c r="AB558">
        <v>2</v>
      </c>
      <c r="AC558">
        <v>0</v>
      </c>
      <c r="AD558">
        <v>0</v>
      </c>
      <c r="AE558">
        <v>19</v>
      </c>
      <c r="AF558">
        <v>21</v>
      </c>
      <c r="AG558">
        <v>40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CI558">
        <v>0</v>
      </c>
      <c r="CJ558">
        <v>0</v>
      </c>
      <c r="CK558">
        <v>0</v>
      </c>
      <c r="CL558">
        <v>19</v>
      </c>
      <c r="CM558">
        <v>21</v>
      </c>
      <c r="CN558">
        <v>40</v>
      </c>
    </row>
    <row r="559" spans="1:92" x14ac:dyDescent="0.3">
      <c r="A559" s="22" t="s">
        <v>465</v>
      </c>
      <c r="B559" t="s">
        <v>108</v>
      </c>
      <c r="C559" t="s">
        <v>332</v>
      </c>
      <c r="D559">
        <v>222501</v>
      </c>
      <c r="E559" t="s">
        <v>349</v>
      </c>
      <c r="F559" t="s">
        <v>350</v>
      </c>
      <c r="G559" t="s">
        <v>112</v>
      </c>
      <c r="H559" t="s">
        <v>351</v>
      </c>
      <c r="I559" t="s">
        <v>114</v>
      </c>
      <c r="J559" t="s">
        <v>115</v>
      </c>
      <c r="N559" s="17" t="s">
        <v>163</v>
      </c>
      <c r="O559">
        <v>2</v>
      </c>
      <c r="P559">
        <v>5</v>
      </c>
      <c r="Q559">
        <v>0</v>
      </c>
      <c r="R559">
        <v>1</v>
      </c>
      <c r="S559">
        <v>1</v>
      </c>
      <c r="T559">
        <v>2</v>
      </c>
      <c r="U559">
        <v>5</v>
      </c>
      <c r="V559">
        <v>4</v>
      </c>
      <c r="W559">
        <v>6</v>
      </c>
      <c r="X559">
        <v>4</v>
      </c>
      <c r="Y559">
        <v>2</v>
      </c>
      <c r="Z559">
        <v>5</v>
      </c>
      <c r="AA559">
        <v>7</v>
      </c>
      <c r="AB559">
        <v>13</v>
      </c>
      <c r="AC559">
        <v>0</v>
      </c>
      <c r="AD559">
        <v>0</v>
      </c>
      <c r="AE559">
        <v>23</v>
      </c>
      <c r="AF559">
        <v>34</v>
      </c>
      <c r="AG559">
        <v>57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CI559">
        <v>0</v>
      </c>
      <c r="CJ559">
        <v>0</v>
      </c>
      <c r="CK559">
        <v>0</v>
      </c>
      <c r="CL559">
        <v>23</v>
      </c>
      <c r="CM559">
        <v>34</v>
      </c>
      <c r="CN559">
        <v>57</v>
      </c>
    </row>
    <row r="560" spans="1:92" x14ac:dyDescent="0.3">
      <c r="A560" s="22" t="s">
        <v>465</v>
      </c>
      <c r="B560" t="s">
        <v>108</v>
      </c>
      <c r="C560" t="s">
        <v>332</v>
      </c>
      <c r="D560">
        <v>305635</v>
      </c>
      <c r="E560" t="s">
        <v>352</v>
      </c>
      <c r="F560" t="s">
        <v>412</v>
      </c>
      <c r="G560" t="s">
        <v>112</v>
      </c>
      <c r="H560" t="s">
        <v>136</v>
      </c>
      <c r="I560" t="s">
        <v>114</v>
      </c>
      <c r="J560" t="s">
        <v>115</v>
      </c>
      <c r="N560" s="17" t="s">
        <v>188</v>
      </c>
      <c r="AE560">
        <v>0</v>
      </c>
      <c r="AF560">
        <v>0</v>
      </c>
      <c r="AG560">
        <v>0</v>
      </c>
      <c r="AR560">
        <v>0</v>
      </c>
      <c r="AS560">
        <v>0</v>
      </c>
      <c r="AT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</row>
    <row r="561" spans="1:92" x14ac:dyDescent="0.3">
      <c r="A561" s="22" t="s">
        <v>465</v>
      </c>
      <c r="B561" t="s">
        <v>108</v>
      </c>
      <c r="C561" t="s">
        <v>332</v>
      </c>
      <c r="D561">
        <v>406492</v>
      </c>
      <c r="E561" t="s">
        <v>354</v>
      </c>
      <c r="F561" t="s">
        <v>355</v>
      </c>
      <c r="G561" t="s">
        <v>112</v>
      </c>
      <c r="H561" t="s">
        <v>122</v>
      </c>
      <c r="I561" t="s">
        <v>123</v>
      </c>
      <c r="J561" t="s">
        <v>124</v>
      </c>
      <c r="N561" s="17" t="s">
        <v>151</v>
      </c>
      <c r="AE561">
        <v>0</v>
      </c>
      <c r="AF561">
        <v>0</v>
      </c>
      <c r="AG561">
        <v>0</v>
      </c>
      <c r="AR561">
        <v>0</v>
      </c>
      <c r="AS561">
        <v>0</v>
      </c>
      <c r="AT561">
        <v>0</v>
      </c>
      <c r="AU561">
        <v>1</v>
      </c>
      <c r="AV561">
        <v>5</v>
      </c>
      <c r="AW561">
        <v>2</v>
      </c>
      <c r="AX561">
        <v>8</v>
      </c>
      <c r="AY561">
        <v>0</v>
      </c>
      <c r="AZ561">
        <v>3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Q561">
        <v>1</v>
      </c>
      <c r="BR561">
        <v>2</v>
      </c>
      <c r="BS561">
        <v>0</v>
      </c>
      <c r="BT561">
        <v>0</v>
      </c>
      <c r="BU561">
        <v>0</v>
      </c>
      <c r="BV561">
        <v>1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4</v>
      </c>
      <c r="CJ561">
        <v>19</v>
      </c>
      <c r="CK561">
        <v>23</v>
      </c>
      <c r="CL561">
        <v>4</v>
      </c>
      <c r="CM561">
        <v>19</v>
      </c>
      <c r="CN561">
        <v>23</v>
      </c>
    </row>
    <row r="562" spans="1:92" x14ac:dyDescent="0.3">
      <c r="A562" s="22" t="s">
        <v>465</v>
      </c>
      <c r="B562" t="s">
        <v>108</v>
      </c>
      <c r="C562" t="s">
        <v>332</v>
      </c>
      <c r="D562">
        <v>408390</v>
      </c>
      <c r="E562" t="s">
        <v>356</v>
      </c>
      <c r="F562" t="s">
        <v>460</v>
      </c>
      <c r="G562" t="s">
        <v>112</v>
      </c>
      <c r="H562" t="s">
        <v>136</v>
      </c>
      <c r="I562" t="s">
        <v>123</v>
      </c>
      <c r="J562" t="s">
        <v>124</v>
      </c>
      <c r="N562" s="17" t="s">
        <v>163</v>
      </c>
      <c r="AE562">
        <v>0</v>
      </c>
      <c r="AF562">
        <v>0</v>
      </c>
      <c r="AG562">
        <v>0</v>
      </c>
      <c r="AR562">
        <v>0</v>
      </c>
      <c r="AS562">
        <v>0</v>
      </c>
      <c r="AT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</row>
    <row r="563" spans="1:92" x14ac:dyDescent="0.3">
      <c r="A563" s="22" t="s">
        <v>465</v>
      </c>
      <c r="B563" t="s">
        <v>108</v>
      </c>
      <c r="C563" t="s">
        <v>332</v>
      </c>
      <c r="D563">
        <v>408616</v>
      </c>
      <c r="E563" t="s">
        <v>358</v>
      </c>
      <c r="F563" t="s">
        <v>359</v>
      </c>
      <c r="G563" t="s">
        <v>112</v>
      </c>
      <c r="H563" t="s">
        <v>186</v>
      </c>
      <c r="I563" t="s">
        <v>123</v>
      </c>
      <c r="J563" t="s">
        <v>124</v>
      </c>
      <c r="N563" s="17" t="s">
        <v>163</v>
      </c>
      <c r="AE563">
        <v>0</v>
      </c>
      <c r="AF563">
        <v>0</v>
      </c>
      <c r="AG563">
        <v>0</v>
      </c>
      <c r="AR563">
        <v>0</v>
      </c>
      <c r="AS563">
        <v>0</v>
      </c>
      <c r="AT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</row>
    <row r="564" spans="1:92" x14ac:dyDescent="0.3">
      <c r="A564" s="22" t="s">
        <v>465</v>
      </c>
      <c r="B564" t="s">
        <v>108</v>
      </c>
      <c r="C564" t="s">
        <v>332</v>
      </c>
      <c r="D564">
        <v>408783</v>
      </c>
      <c r="E564" t="s">
        <v>360</v>
      </c>
      <c r="F564" t="s">
        <v>361</v>
      </c>
      <c r="G564" t="s">
        <v>112</v>
      </c>
      <c r="H564" t="s">
        <v>136</v>
      </c>
      <c r="I564" t="s">
        <v>123</v>
      </c>
      <c r="J564" t="s">
        <v>124</v>
      </c>
      <c r="N564" s="17" t="s">
        <v>163</v>
      </c>
      <c r="AE564">
        <v>0</v>
      </c>
      <c r="AF564">
        <v>0</v>
      </c>
      <c r="AG564">
        <v>0</v>
      </c>
      <c r="AR564">
        <v>0</v>
      </c>
      <c r="AS564">
        <v>0</v>
      </c>
      <c r="AT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</row>
    <row r="565" spans="1:92" x14ac:dyDescent="0.3">
      <c r="A565" s="22" t="s">
        <v>465</v>
      </c>
      <c r="B565" t="s">
        <v>108</v>
      </c>
      <c r="C565" t="s">
        <v>332</v>
      </c>
      <c r="D565">
        <v>408851</v>
      </c>
      <c r="E565" t="s">
        <v>364</v>
      </c>
      <c r="F565" t="s">
        <v>365</v>
      </c>
      <c r="G565" t="s">
        <v>112</v>
      </c>
      <c r="H565" t="s">
        <v>122</v>
      </c>
      <c r="I565" t="s">
        <v>123</v>
      </c>
      <c r="J565" t="s">
        <v>124</v>
      </c>
      <c r="N565" s="17" t="s">
        <v>126</v>
      </c>
      <c r="AE565">
        <v>0</v>
      </c>
      <c r="AF565">
        <v>0</v>
      </c>
      <c r="AG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7</v>
      </c>
      <c r="AX565">
        <v>8</v>
      </c>
      <c r="AY565">
        <v>4</v>
      </c>
      <c r="AZ565">
        <v>5</v>
      </c>
      <c r="BA565">
        <v>2</v>
      </c>
      <c r="BB565">
        <v>0</v>
      </c>
      <c r="BC565">
        <v>0</v>
      </c>
      <c r="BD565">
        <v>0</v>
      </c>
      <c r="BE565">
        <v>2</v>
      </c>
      <c r="BF565">
        <v>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Q565">
        <v>0</v>
      </c>
      <c r="BR565">
        <v>1</v>
      </c>
      <c r="BS565">
        <v>2</v>
      </c>
      <c r="BT565">
        <v>7</v>
      </c>
      <c r="BU565">
        <v>1</v>
      </c>
      <c r="BV565">
        <v>6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19</v>
      </c>
      <c r="CJ565">
        <v>31</v>
      </c>
      <c r="CK565">
        <v>50</v>
      </c>
      <c r="CL565">
        <v>19</v>
      </c>
      <c r="CM565">
        <v>31</v>
      </c>
      <c r="CN565">
        <v>50</v>
      </c>
    </row>
    <row r="566" spans="1:92" x14ac:dyDescent="0.3">
      <c r="A566" s="22" t="s">
        <v>465</v>
      </c>
      <c r="B566" t="s">
        <v>108</v>
      </c>
      <c r="C566" t="s">
        <v>332</v>
      </c>
      <c r="D566">
        <v>409734</v>
      </c>
      <c r="E566" t="s">
        <v>366</v>
      </c>
      <c r="F566" t="s">
        <v>367</v>
      </c>
      <c r="G566" t="s">
        <v>112</v>
      </c>
      <c r="H566" t="s">
        <v>186</v>
      </c>
      <c r="I566" t="s">
        <v>123</v>
      </c>
      <c r="J566" t="s">
        <v>124</v>
      </c>
      <c r="N566" s="17" t="s">
        <v>126</v>
      </c>
      <c r="AE566">
        <v>0</v>
      </c>
      <c r="AF566">
        <v>0</v>
      </c>
      <c r="AG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1</v>
      </c>
      <c r="CF566">
        <v>1</v>
      </c>
      <c r="CG566">
        <v>0</v>
      </c>
      <c r="CH566">
        <v>0</v>
      </c>
      <c r="CI566">
        <v>1</v>
      </c>
      <c r="CJ566">
        <v>1</v>
      </c>
      <c r="CK566">
        <v>2</v>
      </c>
      <c r="CL566">
        <v>1</v>
      </c>
      <c r="CM566">
        <v>1</v>
      </c>
      <c r="CN566">
        <v>2</v>
      </c>
    </row>
    <row r="567" spans="1:92" x14ac:dyDescent="0.3">
      <c r="A567" s="22" t="s">
        <v>465</v>
      </c>
      <c r="B567" t="s">
        <v>108</v>
      </c>
      <c r="C567" t="s">
        <v>332</v>
      </c>
      <c r="D567">
        <v>409888</v>
      </c>
      <c r="E567" t="s">
        <v>368</v>
      </c>
      <c r="F567" t="s">
        <v>369</v>
      </c>
      <c r="G567" t="s">
        <v>112</v>
      </c>
      <c r="H567" t="s">
        <v>136</v>
      </c>
      <c r="I567" t="s">
        <v>123</v>
      </c>
      <c r="J567" t="s">
        <v>124</v>
      </c>
      <c r="N567" s="17" t="s">
        <v>163</v>
      </c>
      <c r="AE567">
        <v>0</v>
      </c>
      <c r="AF567">
        <v>0</v>
      </c>
      <c r="AG567">
        <v>0</v>
      </c>
      <c r="AR567">
        <v>0</v>
      </c>
      <c r="AS567">
        <v>0</v>
      </c>
      <c r="AT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</row>
    <row r="568" spans="1:92" x14ac:dyDescent="0.3">
      <c r="A568" s="22" t="s">
        <v>465</v>
      </c>
      <c r="B568" t="s">
        <v>108</v>
      </c>
      <c r="C568" t="s">
        <v>332</v>
      </c>
      <c r="D568">
        <v>482709</v>
      </c>
      <c r="E568" t="s">
        <v>374</v>
      </c>
      <c r="F568" t="s">
        <v>375</v>
      </c>
      <c r="G568" t="s">
        <v>112</v>
      </c>
      <c r="H568" t="s">
        <v>147</v>
      </c>
      <c r="I568" t="s">
        <v>123</v>
      </c>
      <c r="J568" t="s">
        <v>124</v>
      </c>
      <c r="N568" s="17" t="s">
        <v>151</v>
      </c>
      <c r="AE568">
        <v>0</v>
      </c>
      <c r="AF568">
        <v>0</v>
      </c>
      <c r="AG568">
        <v>0</v>
      </c>
      <c r="AR568">
        <v>0</v>
      </c>
      <c r="AS568">
        <v>0</v>
      </c>
      <c r="AT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</row>
    <row r="569" spans="1:92" x14ac:dyDescent="0.3">
      <c r="A569" s="22" t="s">
        <v>465</v>
      </c>
      <c r="B569" t="s">
        <v>108</v>
      </c>
      <c r="C569" t="s">
        <v>332</v>
      </c>
      <c r="D569">
        <v>482716</v>
      </c>
      <c r="E569" t="s">
        <v>376</v>
      </c>
      <c r="F569" t="s">
        <v>377</v>
      </c>
      <c r="G569" t="s">
        <v>112</v>
      </c>
      <c r="H569" t="s">
        <v>129</v>
      </c>
      <c r="I569" t="s">
        <v>123</v>
      </c>
      <c r="J569" t="s">
        <v>124</v>
      </c>
      <c r="N569" s="17" t="s">
        <v>151</v>
      </c>
      <c r="AE569">
        <v>0</v>
      </c>
      <c r="AF569">
        <v>0</v>
      </c>
      <c r="AG569">
        <v>0</v>
      </c>
      <c r="AR569">
        <v>0</v>
      </c>
      <c r="AS569">
        <v>0</v>
      </c>
      <c r="AT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</row>
    <row r="570" spans="1:92" x14ac:dyDescent="0.3">
      <c r="A570" s="22" t="s">
        <v>465</v>
      </c>
      <c r="B570" t="s">
        <v>108</v>
      </c>
      <c r="C570" t="s">
        <v>332</v>
      </c>
      <c r="D570">
        <v>482891</v>
      </c>
      <c r="E570" t="s">
        <v>380</v>
      </c>
      <c r="F570" t="s">
        <v>381</v>
      </c>
      <c r="G570" t="s">
        <v>112</v>
      </c>
      <c r="H570" t="s">
        <v>191</v>
      </c>
      <c r="I570" t="s">
        <v>123</v>
      </c>
      <c r="J570" t="s">
        <v>124</v>
      </c>
      <c r="N570" s="17" t="s">
        <v>163</v>
      </c>
      <c r="AE570">
        <v>0</v>
      </c>
      <c r="AF570">
        <v>0</v>
      </c>
      <c r="AG570">
        <v>0</v>
      </c>
      <c r="AR570">
        <v>0</v>
      </c>
      <c r="AS570">
        <v>0</v>
      </c>
      <c r="AT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</row>
    <row r="571" spans="1:92" x14ac:dyDescent="0.3">
      <c r="A571" s="22" t="s">
        <v>465</v>
      </c>
      <c r="B571" t="s">
        <v>108</v>
      </c>
      <c r="C571" t="s">
        <v>332</v>
      </c>
      <c r="D571">
        <v>482971</v>
      </c>
      <c r="E571" t="s">
        <v>390</v>
      </c>
      <c r="F571" t="s">
        <v>461</v>
      </c>
      <c r="G571" t="s">
        <v>112</v>
      </c>
      <c r="H571" t="s">
        <v>136</v>
      </c>
      <c r="I571" t="s">
        <v>123</v>
      </c>
      <c r="J571" t="s">
        <v>124</v>
      </c>
      <c r="N571" s="17" t="s">
        <v>126</v>
      </c>
      <c r="AE571">
        <v>0</v>
      </c>
      <c r="AF571">
        <v>0</v>
      </c>
      <c r="AG571">
        <v>0</v>
      </c>
      <c r="AR571">
        <v>0</v>
      </c>
      <c r="AS571">
        <v>0</v>
      </c>
      <c r="AT571">
        <v>0</v>
      </c>
      <c r="AU571">
        <v>5</v>
      </c>
      <c r="AV571">
        <v>16</v>
      </c>
      <c r="AW571">
        <v>31</v>
      </c>
      <c r="AX571">
        <v>26</v>
      </c>
      <c r="AY571">
        <v>14</v>
      </c>
      <c r="AZ571">
        <v>13</v>
      </c>
      <c r="BA571">
        <v>0</v>
      </c>
      <c r="BB571">
        <v>2</v>
      </c>
      <c r="BC571">
        <v>0</v>
      </c>
      <c r="BD571">
        <v>0</v>
      </c>
      <c r="BE571">
        <v>31</v>
      </c>
      <c r="BF571">
        <v>27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Q571">
        <v>15</v>
      </c>
      <c r="BR571">
        <v>29</v>
      </c>
      <c r="BS571">
        <v>52</v>
      </c>
      <c r="BT571">
        <v>51</v>
      </c>
      <c r="BU571">
        <v>22</v>
      </c>
      <c r="BV571">
        <v>20</v>
      </c>
      <c r="BW571">
        <v>5</v>
      </c>
      <c r="BX571">
        <v>6</v>
      </c>
      <c r="BY571">
        <v>0</v>
      </c>
      <c r="BZ571">
        <v>0</v>
      </c>
      <c r="CA571">
        <v>47</v>
      </c>
      <c r="CB571">
        <v>49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222</v>
      </c>
      <c r="CJ571">
        <v>239</v>
      </c>
      <c r="CK571">
        <v>461</v>
      </c>
      <c r="CL571">
        <v>222</v>
      </c>
      <c r="CM571">
        <v>239</v>
      </c>
      <c r="CN571">
        <v>461</v>
      </c>
    </row>
    <row r="572" spans="1:92" x14ac:dyDescent="0.3">
      <c r="A572" s="22" t="s">
        <v>465</v>
      </c>
      <c r="B572" t="s">
        <v>108</v>
      </c>
      <c r="C572" t="s">
        <v>332</v>
      </c>
      <c r="D572">
        <v>482987</v>
      </c>
      <c r="E572" t="s">
        <v>478</v>
      </c>
      <c r="F572" t="s">
        <v>479</v>
      </c>
      <c r="G572" t="s">
        <v>112</v>
      </c>
      <c r="H572" t="s">
        <v>191</v>
      </c>
      <c r="I572" t="s">
        <v>123</v>
      </c>
      <c r="J572" t="s">
        <v>124</v>
      </c>
      <c r="N572" s="17" t="s">
        <v>119</v>
      </c>
      <c r="AE572">
        <v>0</v>
      </c>
      <c r="AF572">
        <v>0</v>
      </c>
      <c r="AG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Q572">
        <v>0</v>
      </c>
      <c r="BR572">
        <v>1</v>
      </c>
      <c r="BS572">
        <v>0</v>
      </c>
      <c r="BT572">
        <v>0</v>
      </c>
      <c r="BU572">
        <v>0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4</v>
      </c>
      <c r="CK572">
        <v>4</v>
      </c>
      <c r="CL572">
        <v>0</v>
      </c>
      <c r="CM572">
        <v>4</v>
      </c>
      <c r="CN572">
        <v>4</v>
      </c>
    </row>
    <row r="573" spans="1:92" x14ac:dyDescent="0.3">
      <c r="A573" s="22" t="s">
        <v>465</v>
      </c>
      <c r="B573" t="s">
        <v>108</v>
      </c>
      <c r="C573" t="s">
        <v>394</v>
      </c>
      <c r="D573">
        <v>360867</v>
      </c>
      <c r="E573" t="s">
        <v>395</v>
      </c>
      <c r="F573" t="s">
        <v>338</v>
      </c>
      <c r="G573" t="s">
        <v>112</v>
      </c>
      <c r="H573" t="s">
        <v>122</v>
      </c>
      <c r="I573" t="s">
        <v>114</v>
      </c>
      <c r="J573" t="s">
        <v>115</v>
      </c>
      <c r="N573" s="17" t="s">
        <v>119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5</v>
      </c>
      <c r="AM573">
        <v>2</v>
      </c>
      <c r="AN573">
        <v>0</v>
      </c>
      <c r="AO573">
        <v>0</v>
      </c>
      <c r="AP573">
        <v>0</v>
      </c>
      <c r="AQ573">
        <v>0</v>
      </c>
      <c r="AR573">
        <v>5</v>
      </c>
      <c r="AS573">
        <v>3</v>
      </c>
      <c r="AT573">
        <v>8</v>
      </c>
      <c r="AU573">
        <v>1</v>
      </c>
      <c r="AV573">
        <v>3</v>
      </c>
      <c r="AW573">
        <v>4</v>
      </c>
      <c r="AX573">
        <v>4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Q573">
        <v>1</v>
      </c>
      <c r="BR573">
        <v>3</v>
      </c>
      <c r="BS573">
        <v>3</v>
      </c>
      <c r="BT573">
        <v>5</v>
      </c>
      <c r="BU573">
        <v>1</v>
      </c>
      <c r="BV573">
        <v>3</v>
      </c>
      <c r="BW573">
        <v>0</v>
      </c>
      <c r="BX573">
        <v>4</v>
      </c>
      <c r="BY573">
        <v>0</v>
      </c>
      <c r="BZ573">
        <v>0</v>
      </c>
      <c r="CA573">
        <v>3</v>
      </c>
      <c r="CB573">
        <v>4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18</v>
      </c>
      <c r="CJ573">
        <v>26</v>
      </c>
      <c r="CK573">
        <v>44</v>
      </c>
      <c r="CL573">
        <v>23</v>
      </c>
      <c r="CM573">
        <v>29</v>
      </c>
      <c r="CN573">
        <v>52</v>
      </c>
    </row>
    <row r="574" spans="1:92" x14ac:dyDescent="0.3">
      <c r="A574" s="25" t="s">
        <v>486</v>
      </c>
      <c r="B574" t="s">
        <v>108</v>
      </c>
      <c r="C574" t="s">
        <v>109</v>
      </c>
      <c r="D574">
        <v>340690</v>
      </c>
      <c r="E574" t="s">
        <v>110</v>
      </c>
      <c r="F574" t="s">
        <v>111</v>
      </c>
      <c r="G574" t="s">
        <v>112</v>
      </c>
      <c r="H574" t="s">
        <v>113</v>
      </c>
      <c r="I574" t="s">
        <v>114</v>
      </c>
      <c r="J574" t="s">
        <v>115</v>
      </c>
      <c r="K574" t="s">
        <v>116</v>
      </c>
      <c r="N574" s="17" t="s">
        <v>126</v>
      </c>
      <c r="AE574">
        <f>SUM(O574,Q574,S574,U574,W574,Y574,AA574,AC574)</f>
        <v>0</v>
      </c>
      <c r="AF574">
        <f>SUM(P574,R574,T574,V574,X574,Z574,AB574,AD574)</f>
        <v>0</v>
      </c>
      <c r="AG574">
        <f>SUM(AE574:AF574)</f>
        <v>0</v>
      </c>
      <c r="AR574">
        <f>SUM(AH574,AJ574,AL574,AN574,AP574,)</f>
        <v>0</v>
      </c>
      <c r="AS574">
        <f>SUM(AI574,AK574,AM574,AO574,AQ574,)</f>
        <v>0</v>
      </c>
      <c r="AT574">
        <f>SUM(AR574:AS574)</f>
        <v>0</v>
      </c>
      <c r="AU574">
        <v>1</v>
      </c>
      <c r="AV574">
        <v>5</v>
      </c>
      <c r="AW574">
        <v>6</v>
      </c>
      <c r="AX574">
        <v>5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8</v>
      </c>
      <c r="BF574">
        <v>6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7</v>
      </c>
      <c r="BS574">
        <v>7</v>
      </c>
      <c r="BT574">
        <v>15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14</v>
      </c>
      <c r="CB574">
        <v>12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f>SUM(AU574,AW574,AY574,BA574,BC574,BE574,BG574,BI574,BK574,BM574,BO574,BQ574,BS574,BU574,BW574,BY574,CA574,CC574,CE574,CG574)</f>
        <v>37</v>
      </c>
      <c r="CJ574">
        <f>SUM(AV574,AX574,AZ574,BB574,BD574,BF574,BH574,BJ574,BL574,BN574,BP574,BR574,BT574,BV574,BX574,BZ574,CB574,CD574,CF574,CH574)</f>
        <v>50</v>
      </c>
      <c r="CK574">
        <f>SUM(CI574:CJ574)</f>
        <v>87</v>
      </c>
      <c r="CL574" s="21">
        <f>SUM(AE574,AR574,CI574)</f>
        <v>37</v>
      </c>
      <c r="CM574" s="21">
        <f>SUM(AF574,AS574,CJ574)</f>
        <v>50</v>
      </c>
      <c r="CN574" s="21">
        <f>SUM(AG574,AT574,CK574)</f>
        <v>87</v>
      </c>
    </row>
    <row r="575" spans="1:92" x14ac:dyDescent="0.3">
      <c r="A575" s="25" t="s">
        <v>486</v>
      </c>
      <c r="B575" t="s">
        <v>108</v>
      </c>
      <c r="C575" t="s">
        <v>109</v>
      </c>
      <c r="D575">
        <v>401453</v>
      </c>
      <c r="E575" t="s">
        <v>120</v>
      </c>
      <c r="F575" t="s">
        <v>121</v>
      </c>
      <c r="G575" t="s">
        <v>112</v>
      </c>
      <c r="H575" t="s">
        <v>122</v>
      </c>
      <c r="I575" t="s">
        <v>123</v>
      </c>
      <c r="J575" t="s">
        <v>124</v>
      </c>
      <c r="K575" t="s">
        <v>116</v>
      </c>
      <c r="N575" t="s">
        <v>126</v>
      </c>
      <c r="AE575">
        <f t="shared" ref="AE575:AE638" si="0">SUM(O575,Q575,S575,U575,W575,Y575,AA575,AC575)</f>
        <v>0</v>
      </c>
      <c r="AF575">
        <f t="shared" ref="AF575:AF638" si="1">SUM(P575,R575,T575,V575,X575,Z575,AB575,AD575)</f>
        <v>0</v>
      </c>
      <c r="AG575">
        <f t="shared" ref="AG575:AG638" si="2">SUM(AE575:AF575)</f>
        <v>0</v>
      </c>
      <c r="AR575">
        <f t="shared" ref="AR575:AR638" si="3">SUM(AH575,AJ575,AL575,AN575,AP575,)</f>
        <v>0</v>
      </c>
      <c r="AS575">
        <f t="shared" ref="AS575:AS638" si="4">SUM(AI575,AK575,AM575,AO575,AQ575,)</f>
        <v>0</v>
      </c>
      <c r="AT575">
        <f t="shared" ref="AT575:AT638" si="5">SUM(AR575:AS575)</f>
        <v>0</v>
      </c>
      <c r="AU575">
        <v>0</v>
      </c>
      <c r="AV575">
        <v>2</v>
      </c>
      <c r="AW575">
        <v>6</v>
      </c>
      <c r="AX575">
        <v>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6</v>
      </c>
      <c r="BS575">
        <v>6</v>
      </c>
      <c r="BT575">
        <v>9</v>
      </c>
      <c r="BU575">
        <v>2</v>
      </c>
      <c r="BV575">
        <v>7</v>
      </c>
      <c r="BW575">
        <v>3</v>
      </c>
      <c r="BX575">
        <v>2</v>
      </c>
      <c r="BY575">
        <v>0</v>
      </c>
      <c r="BZ575">
        <v>0</v>
      </c>
      <c r="CA575">
        <v>5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f t="shared" ref="CI575:CI638" si="6">SUM(AU575,AW575,AY575,BA575,BC575,BE575,BG575,BI575,BK575,BM575,BO575,BQ575,BS575,BU575,BW575,BY575,CA575,CC575,CE575,CG575)</f>
        <v>26</v>
      </c>
      <c r="CJ575">
        <f t="shared" ref="CJ575:CJ638" si="7">SUM(AV575,AX575,AZ575,BB575,BD575,BF575,BH575,BJ575,BL575,BN575,BP575,BR575,BT575,BV575,BX575,BZ575,CB575,CD575,CF575,CH575)</f>
        <v>29</v>
      </c>
      <c r="CK575">
        <f t="shared" ref="CK575:CK638" si="8">SUM(CI575:CJ575)</f>
        <v>55</v>
      </c>
      <c r="CL575" s="21">
        <f t="shared" ref="CL575:CL638" si="9">SUM(AE575,AR575,CI575)</f>
        <v>26</v>
      </c>
      <c r="CM575" s="21">
        <f t="shared" ref="CM575:CM638" si="10">SUM(AF575,AS575,CJ575)</f>
        <v>29</v>
      </c>
      <c r="CN575" s="21">
        <f t="shared" ref="CN575:CN638" si="11">SUM(AG575,AT575,CK575)</f>
        <v>55</v>
      </c>
    </row>
    <row r="576" spans="1:92" x14ac:dyDescent="0.3">
      <c r="A576" s="25" t="s">
        <v>486</v>
      </c>
      <c r="B576" t="s">
        <v>108</v>
      </c>
      <c r="C576" t="s">
        <v>109</v>
      </c>
      <c r="D576">
        <v>401486</v>
      </c>
      <c r="E576" t="s">
        <v>364</v>
      </c>
      <c r="F576" t="s">
        <v>176</v>
      </c>
      <c r="G576" t="s">
        <v>112</v>
      </c>
      <c r="H576" t="s">
        <v>174</v>
      </c>
      <c r="I576" t="s">
        <v>123</v>
      </c>
      <c r="J576" t="s">
        <v>124</v>
      </c>
      <c r="K576" t="s">
        <v>116</v>
      </c>
      <c r="N576" t="s">
        <v>126</v>
      </c>
      <c r="AE576">
        <f t="shared" si="0"/>
        <v>0</v>
      </c>
      <c r="AF576">
        <f t="shared" si="1"/>
        <v>0</v>
      </c>
      <c r="AG576">
        <f t="shared" si="2"/>
        <v>0</v>
      </c>
      <c r="AR576">
        <f t="shared" si="3"/>
        <v>0</v>
      </c>
      <c r="AS576">
        <f t="shared" si="4"/>
        <v>0</v>
      </c>
      <c r="AT576">
        <f t="shared" si="5"/>
        <v>0</v>
      </c>
      <c r="AU576">
        <v>3</v>
      </c>
      <c r="AV576">
        <v>6</v>
      </c>
      <c r="AW576">
        <v>0</v>
      </c>
      <c r="AX576">
        <v>0</v>
      </c>
      <c r="AY576">
        <v>0</v>
      </c>
      <c r="AZ576">
        <v>0</v>
      </c>
      <c r="BA576">
        <v>3</v>
      </c>
      <c r="BB576">
        <v>0</v>
      </c>
      <c r="BC576">
        <v>0</v>
      </c>
      <c r="BD576">
        <v>0</v>
      </c>
      <c r="BE576">
        <v>21</v>
      </c>
      <c r="BF576">
        <v>4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3</v>
      </c>
      <c r="BR576">
        <v>5</v>
      </c>
      <c r="BS576">
        <v>0</v>
      </c>
      <c r="BT576">
        <v>0</v>
      </c>
      <c r="BU576">
        <v>0</v>
      </c>
      <c r="BV576">
        <v>0</v>
      </c>
      <c r="BW576">
        <v>3</v>
      </c>
      <c r="BX576">
        <v>7</v>
      </c>
      <c r="BY576">
        <v>0</v>
      </c>
      <c r="BZ576">
        <v>0</v>
      </c>
      <c r="CA576">
        <v>19</v>
      </c>
      <c r="CB576">
        <v>27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f t="shared" si="6"/>
        <v>52</v>
      </c>
      <c r="CJ576">
        <f t="shared" si="7"/>
        <v>49</v>
      </c>
      <c r="CK576">
        <f t="shared" si="8"/>
        <v>101</v>
      </c>
      <c r="CL576" s="21">
        <f t="shared" si="9"/>
        <v>52</v>
      </c>
      <c r="CM576" s="21">
        <f t="shared" si="10"/>
        <v>49</v>
      </c>
      <c r="CN576" s="21">
        <f t="shared" si="11"/>
        <v>101</v>
      </c>
    </row>
    <row r="577" spans="1:92" x14ac:dyDescent="0.3">
      <c r="A577" s="25" t="s">
        <v>486</v>
      </c>
      <c r="B577" t="s">
        <v>108</v>
      </c>
      <c r="C577" t="s">
        <v>109</v>
      </c>
      <c r="D577">
        <v>401495</v>
      </c>
      <c r="E577" t="s">
        <v>127</v>
      </c>
      <c r="F577" t="s">
        <v>128</v>
      </c>
      <c r="G577" t="s">
        <v>112</v>
      </c>
      <c r="H577" t="s">
        <v>129</v>
      </c>
      <c r="I577" t="s">
        <v>123</v>
      </c>
      <c r="J577" t="s">
        <v>130</v>
      </c>
      <c r="K577" t="s">
        <v>116</v>
      </c>
      <c r="N577" t="s">
        <v>126</v>
      </c>
      <c r="AE577">
        <f t="shared" si="0"/>
        <v>0</v>
      </c>
      <c r="AF577">
        <f t="shared" si="1"/>
        <v>0</v>
      </c>
      <c r="AG577">
        <f t="shared" si="2"/>
        <v>0</v>
      </c>
      <c r="AR577">
        <f t="shared" si="3"/>
        <v>0</v>
      </c>
      <c r="AS577">
        <f t="shared" si="4"/>
        <v>0</v>
      </c>
      <c r="AT577">
        <f t="shared" si="5"/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13</v>
      </c>
      <c r="BF577">
        <v>2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23</v>
      </c>
      <c r="CB577">
        <v>6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f t="shared" si="6"/>
        <v>36</v>
      </c>
      <c r="CJ577">
        <f t="shared" si="7"/>
        <v>8</v>
      </c>
      <c r="CK577">
        <f t="shared" si="8"/>
        <v>44</v>
      </c>
      <c r="CL577" s="21">
        <f t="shared" si="9"/>
        <v>36</v>
      </c>
      <c r="CM577" s="21">
        <f t="shared" si="10"/>
        <v>8</v>
      </c>
      <c r="CN577" s="21">
        <f t="shared" si="11"/>
        <v>44</v>
      </c>
    </row>
    <row r="578" spans="1:92" x14ac:dyDescent="0.3">
      <c r="A578" s="25" t="s">
        <v>486</v>
      </c>
      <c r="B578" t="s">
        <v>108</v>
      </c>
      <c r="C578" t="s">
        <v>109</v>
      </c>
      <c r="D578">
        <v>401500</v>
      </c>
      <c r="E578" t="s">
        <v>131</v>
      </c>
      <c r="F578" t="s">
        <v>487</v>
      </c>
      <c r="G578" t="s">
        <v>112</v>
      </c>
      <c r="H578" t="s">
        <v>133</v>
      </c>
      <c r="I578" t="s">
        <v>123</v>
      </c>
      <c r="J578" t="s">
        <v>130</v>
      </c>
      <c r="K578" t="s">
        <v>116</v>
      </c>
      <c r="N578" t="s">
        <v>126</v>
      </c>
      <c r="AE578">
        <f t="shared" si="0"/>
        <v>0</v>
      </c>
      <c r="AF578">
        <f t="shared" si="1"/>
        <v>0</v>
      </c>
      <c r="AG578">
        <f t="shared" si="2"/>
        <v>0</v>
      </c>
      <c r="AR578">
        <f t="shared" si="3"/>
        <v>0</v>
      </c>
      <c r="AS578">
        <f t="shared" si="4"/>
        <v>0</v>
      </c>
      <c r="AT578">
        <f t="shared" si="5"/>
        <v>0</v>
      </c>
      <c r="AU578">
        <v>2</v>
      </c>
      <c r="AV578">
        <v>2</v>
      </c>
      <c r="AW578">
        <v>6</v>
      </c>
      <c r="AX578">
        <v>15</v>
      </c>
      <c r="AY578">
        <v>0</v>
      </c>
      <c r="AZ578">
        <v>0</v>
      </c>
      <c r="BA578">
        <v>1</v>
      </c>
      <c r="BB578">
        <v>2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3</v>
      </c>
      <c r="BR578">
        <v>3</v>
      </c>
      <c r="BS578">
        <v>6</v>
      </c>
      <c r="BT578">
        <v>5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f t="shared" si="6"/>
        <v>18</v>
      </c>
      <c r="CJ578">
        <f t="shared" si="7"/>
        <v>27</v>
      </c>
      <c r="CK578">
        <f t="shared" si="8"/>
        <v>45</v>
      </c>
      <c r="CL578" s="21">
        <f t="shared" si="9"/>
        <v>18</v>
      </c>
      <c r="CM578" s="21">
        <f t="shared" si="10"/>
        <v>27</v>
      </c>
      <c r="CN578" s="21">
        <f t="shared" si="11"/>
        <v>45</v>
      </c>
    </row>
    <row r="579" spans="1:92" x14ac:dyDescent="0.3">
      <c r="A579" s="25" t="s">
        <v>486</v>
      </c>
      <c r="B579" t="s">
        <v>108</v>
      </c>
      <c r="C579" t="s">
        <v>109</v>
      </c>
      <c r="D579">
        <v>407206</v>
      </c>
      <c r="E579" t="s">
        <v>488</v>
      </c>
      <c r="F579" t="s">
        <v>489</v>
      </c>
      <c r="G579" t="s">
        <v>112</v>
      </c>
      <c r="H579" t="s">
        <v>129</v>
      </c>
      <c r="I579" t="s">
        <v>123</v>
      </c>
      <c r="J579" t="s">
        <v>130</v>
      </c>
      <c r="K579" t="s">
        <v>116</v>
      </c>
      <c r="N579" t="s">
        <v>126</v>
      </c>
      <c r="AE579">
        <f t="shared" si="0"/>
        <v>0</v>
      </c>
      <c r="AF579">
        <f t="shared" si="1"/>
        <v>0</v>
      </c>
      <c r="AG579">
        <f t="shared" si="2"/>
        <v>0</v>
      </c>
      <c r="AR579">
        <f t="shared" si="3"/>
        <v>0</v>
      </c>
      <c r="AS579">
        <f t="shared" si="4"/>
        <v>0</v>
      </c>
      <c r="AT579">
        <f t="shared" si="5"/>
        <v>0</v>
      </c>
      <c r="AU579">
        <v>0</v>
      </c>
      <c r="AV579">
        <v>5</v>
      </c>
      <c r="AW579">
        <v>3</v>
      </c>
      <c r="AX579">
        <v>9</v>
      </c>
      <c r="AY579">
        <v>0</v>
      </c>
      <c r="AZ579">
        <v>0</v>
      </c>
      <c r="BA579">
        <v>1</v>
      </c>
      <c r="BB579">
        <v>0</v>
      </c>
      <c r="BC579">
        <v>0</v>
      </c>
      <c r="BD579">
        <v>0</v>
      </c>
      <c r="BE579">
        <v>7</v>
      </c>
      <c r="BF579">
        <v>4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1</v>
      </c>
      <c r="BR579">
        <v>7</v>
      </c>
      <c r="BS579">
        <v>4</v>
      </c>
      <c r="BT579">
        <v>5</v>
      </c>
      <c r="BU579">
        <v>0</v>
      </c>
      <c r="BV579">
        <v>0</v>
      </c>
      <c r="BW579">
        <v>0</v>
      </c>
      <c r="BX579">
        <v>2</v>
      </c>
      <c r="BY579">
        <v>0</v>
      </c>
      <c r="BZ579">
        <v>0</v>
      </c>
      <c r="CA579">
        <v>11</v>
      </c>
      <c r="CB579">
        <v>2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f t="shared" si="6"/>
        <v>27</v>
      </c>
      <c r="CJ579">
        <f t="shared" si="7"/>
        <v>34</v>
      </c>
      <c r="CK579">
        <f t="shared" si="8"/>
        <v>61</v>
      </c>
      <c r="CL579" s="21">
        <f t="shared" si="9"/>
        <v>27</v>
      </c>
      <c r="CM579" s="21">
        <f t="shared" si="10"/>
        <v>34</v>
      </c>
      <c r="CN579" s="21">
        <f t="shared" si="11"/>
        <v>61</v>
      </c>
    </row>
    <row r="580" spans="1:92" x14ac:dyDescent="0.3">
      <c r="A580" s="25" t="s">
        <v>486</v>
      </c>
      <c r="B580" t="s">
        <v>108</v>
      </c>
      <c r="C580" t="s">
        <v>109</v>
      </c>
      <c r="D580">
        <v>409925</v>
      </c>
      <c r="E580" t="s">
        <v>134</v>
      </c>
      <c r="F580" t="s">
        <v>135</v>
      </c>
      <c r="G580" t="s">
        <v>112</v>
      </c>
      <c r="H580" t="s">
        <v>136</v>
      </c>
      <c r="I580" t="s">
        <v>123</v>
      </c>
      <c r="J580" t="s">
        <v>124</v>
      </c>
      <c r="K580" t="s">
        <v>116</v>
      </c>
      <c r="N580" t="s">
        <v>126</v>
      </c>
      <c r="AE580">
        <f t="shared" si="0"/>
        <v>0</v>
      </c>
      <c r="AF580">
        <f t="shared" si="1"/>
        <v>0</v>
      </c>
      <c r="AG580">
        <f t="shared" si="2"/>
        <v>0</v>
      </c>
      <c r="AR580">
        <f t="shared" si="3"/>
        <v>0</v>
      </c>
      <c r="AS580">
        <f t="shared" si="4"/>
        <v>0</v>
      </c>
      <c r="AT580">
        <f t="shared" si="5"/>
        <v>0</v>
      </c>
      <c r="AU580">
        <v>8</v>
      </c>
      <c r="AV580">
        <v>9</v>
      </c>
      <c r="AW580">
        <v>0</v>
      </c>
      <c r="AX580">
        <v>0</v>
      </c>
      <c r="AY580">
        <v>0</v>
      </c>
      <c r="AZ580">
        <v>0</v>
      </c>
      <c r="BA580">
        <v>2</v>
      </c>
      <c r="BB580">
        <v>5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3</v>
      </c>
      <c r="BR580">
        <v>10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f t="shared" si="6"/>
        <v>14</v>
      </c>
      <c r="CJ580">
        <f t="shared" si="7"/>
        <v>28</v>
      </c>
      <c r="CK580">
        <f t="shared" si="8"/>
        <v>42</v>
      </c>
      <c r="CL580" s="21">
        <f t="shared" si="9"/>
        <v>14</v>
      </c>
      <c r="CM580" s="21">
        <f t="shared" si="10"/>
        <v>28</v>
      </c>
      <c r="CN580" s="21">
        <f t="shared" si="11"/>
        <v>42</v>
      </c>
    </row>
    <row r="581" spans="1:92" x14ac:dyDescent="0.3">
      <c r="A581" s="25" t="s">
        <v>486</v>
      </c>
      <c r="B581" t="s">
        <v>108</v>
      </c>
      <c r="C581" t="s">
        <v>109</v>
      </c>
      <c r="D581">
        <v>410227</v>
      </c>
      <c r="E581" t="s">
        <v>139</v>
      </c>
      <c r="F581" t="s">
        <v>404</v>
      </c>
      <c r="G581" t="s">
        <v>112</v>
      </c>
      <c r="H581" t="s">
        <v>129</v>
      </c>
      <c r="I581" t="s">
        <v>123</v>
      </c>
      <c r="J581" t="s">
        <v>124</v>
      </c>
      <c r="K581" t="s">
        <v>116</v>
      </c>
      <c r="N581" t="s">
        <v>126</v>
      </c>
      <c r="AE581">
        <f t="shared" si="0"/>
        <v>0</v>
      </c>
      <c r="AF581">
        <f t="shared" si="1"/>
        <v>0</v>
      </c>
      <c r="AG581">
        <f t="shared" si="2"/>
        <v>0</v>
      </c>
      <c r="AR581">
        <f t="shared" si="3"/>
        <v>0</v>
      </c>
      <c r="AS581">
        <f t="shared" si="4"/>
        <v>0</v>
      </c>
      <c r="AT581">
        <f t="shared" si="5"/>
        <v>0</v>
      </c>
      <c r="AU581">
        <v>1</v>
      </c>
      <c r="AV581">
        <v>2</v>
      </c>
      <c r="AW581">
        <v>0</v>
      </c>
      <c r="AX581">
        <v>1</v>
      </c>
      <c r="AY581">
        <v>2</v>
      </c>
      <c r="AZ581">
        <v>6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5</v>
      </c>
      <c r="BS581">
        <v>1</v>
      </c>
      <c r="BT581">
        <v>1</v>
      </c>
      <c r="BU581">
        <v>1</v>
      </c>
      <c r="BV581">
        <v>6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f t="shared" si="6"/>
        <v>5</v>
      </c>
      <c r="CJ581">
        <f t="shared" si="7"/>
        <v>21</v>
      </c>
      <c r="CK581">
        <f t="shared" si="8"/>
        <v>26</v>
      </c>
      <c r="CL581" s="21">
        <f t="shared" si="9"/>
        <v>5</v>
      </c>
      <c r="CM581" s="21">
        <f t="shared" si="10"/>
        <v>21</v>
      </c>
      <c r="CN581" s="21">
        <f t="shared" si="11"/>
        <v>26</v>
      </c>
    </row>
    <row r="582" spans="1:92" x14ac:dyDescent="0.3">
      <c r="A582" s="25" t="s">
        <v>486</v>
      </c>
      <c r="B582" t="s">
        <v>108</v>
      </c>
      <c r="C582" t="s">
        <v>405</v>
      </c>
      <c r="D582">
        <v>410465</v>
      </c>
      <c r="E582" t="s">
        <v>406</v>
      </c>
      <c r="F582" t="s">
        <v>407</v>
      </c>
      <c r="G582" t="s">
        <v>112</v>
      </c>
      <c r="H582" t="s">
        <v>129</v>
      </c>
      <c r="I582" t="s">
        <v>123</v>
      </c>
      <c r="J582" t="s">
        <v>124</v>
      </c>
      <c r="K582" t="s">
        <v>116</v>
      </c>
      <c r="N582" t="s">
        <v>126</v>
      </c>
      <c r="AE582">
        <f t="shared" si="0"/>
        <v>0</v>
      </c>
      <c r="AF582">
        <f t="shared" si="1"/>
        <v>0</v>
      </c>
      <c r="AG582">
        <f t="shared" si="2"/>
        <v>0</v>
      </c>
      <c r="AR582">
        <f t="shared" si="3"/>
        <v>0</v>
      </c>
      <c r="AS582">
        <f t="shared" si="4"/>
        <v>0</v>
      </c>
      <c r="AT582">
        <f t="shared" si="5"/>
        <v>0</v>
      </c>
      <c r="AU582">
        <v>2</v>
      </c>
      <c r="AV582">
        <v>16</v>
      </c>
      <c r="AW582">
        <v>13</v>
      </c>
      <c r="AX582">
        <v>32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6</v>
      </c>
      <c r="BR582">
        <v>23</v>
      </c>
      <c r="BS582">
        <v>29</v>
      </c>
      <c r="BT582">
        <v>25</v>
      </c>
      <c r="BU582">
        <v>0</v>
      </c>
      <c r="BV582">
        <v>0</v>
      </c>
      <c r="BW582">
        <v>0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f t="shared" si="6"/>
        <v>50</v>
      </c>
      <c r="CJ582">
        <f t="shared" si="7"/>
        <v>97</v>
      </c>
      <c r="CK582">
        <f t="shared" si="8"/>
        <v>147</v>
      </c>
      <c r="CL582" s="21">
        <f t="shared" si="9"/>
        <v>50</v>
      </c>
      <c r="CM582" s="21">
        <f t="shared" si="10"/>
        <v>97</v>
      </c>
      <c r="CN582" s="21">
        <f t="shared" si="11"/>
        <v>147</v>
      </c>
    </row>
    <row r="583" spans="1:92" x14ac:dyDescent="0.3">
      <c r="A583" s="25" t="s">
        <v>486</v>
      </c>
      <c r="B583" t="s">
        <v>108</v>
      </c>
      <c r="C583" t="s">
        <v>141</v>
      </c>
      <c r="D583">
        <v>409926</v>
      </c>
      <c r="E583" t="s">
        <v>134</v>
      </c>
      <c r="F583" t="s">
        <v>137</v>
      </c>
      <c r="G583" t="s">
        <v>112</v>
      </c>
      <c r="H583" t="s">
        <v>138</v>
      </c>
      <c r="I583" t="s">
        <v>123</v>
      </c>
      <c r="J583" t="s">
        <v>124</v>
      </c>
      <c r="K583" t="s">
        <v>116</v>
      </c>
      <c r="N583" t="s">
        <v>126</v>
      </c>
      <c r="AE583">
        <f t="shared" si="0"/>
        <v>0</v>
      </c>
      <c r="AF583">
        <f t="shared" si="1"/>
        <v>0</v>
      </c>
      <c r="AG583">
        <f t="shared" si="2"/>
        <v>0</v>
      </c>
      <c r="AR583">
        <f t="shared" si="3"/>
        <v>0</v>
      </c>
      <c r="AS583">
        <f t="shared" si="4"/>
        <v>0</v>
      </c>
      <c r="AT583">
        <f t="shared" si="5"/>
        <v>0</v>
      </c>
      <c r="AU583">
        <v>1</v>
      </c>
      <c r="AV583">
        <v>8</v>
      </c>
      <c r="AW583">
        <v>25</v>
      </c>
      <c r="AX583">
        <v>23</v>
      </c>
      <c r="AY583">
        <v>9</v>
      </c>
      <c r="AZ583">
        <v>14</v>
      </c>
      <c r="BA583">
        <v>2</v>
      </c>
      <c r="BB583">
        <v>4</v>
      </c>
      <c r="BC583">
        <v>0</v>
      </c>
      <c r="BD583">
        <v>0</v>
      </c>
      <c r="BE583">
        <v>17</v>
      </c>
      <c r="BF583">
        <v>43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4</v>
      </c>
      <c r="BR583">
        <v>9</v>
      </c>
      <c r="BS583">
        <v>23</v>
      </c>
      <c r="BT583">
        <v>28</v>
      </c>
      <c r="BU583">
        <v>16</v>
      </c>
      <c r="BV583">
        <v>13</v>
      </c>
      <c r="BW583">
        <v>4</v>
      </c>
      <c r="BX583">
        <v>0</v>
      </c>
      <c r="BY583">
        <v>0</v>
      </c>
      <c r="BZ583">
        <v>0</v>
      </c>
      <c r="CA583">
        <v>25</v>
      </c>
      <c r="CB583">
        <v>43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f t="shared" si="6"/>
        <v>126</v>
      </c>
      <c r="CJ583">
        <f t="shared" si="7"/>
        <v>185</v>
      </c>
      <c r="CK583">
        <f t="shared" si="8"/>
        <v>311</v>
      </c>
      <c r="CL583" s="21">
        <f t="shared" si="9"/>
        <v>126</v>
      </c>
      <c r="CM583" s="21">
        <f t="shared" si="10"/>
        <v>185</v>
      </c>
      <c r="CN583" s="21">
        <f t="shared" si="11"/>
        <v>311</v>
      </c>
    </row>
    <row r="584" spans="1:92" x14ac:dyDescent="0.3">
      <c r="A584" s="25" t="s">
        <v>486</v>
      </c>
      <c r="B584" t="s">
        <v>108</v>
      </c>
      <c r="C584" t="s">
        <v>141</v>
      </c>
      <c r="D584">
        <v>410825</v>
      </c>
      <c r="E584" t="s">
        <v>424</v>
      </c>
      <c r="F584" t="s">
        <v>490</v>
      </c>
      <c r="G584" t="s">
        <v>112</v>
      </c>
      <c r="H584" t="s">
        <v>261</v>
      </c>
      <c r="I584" t="s">
        <v>123</v>
      </c>
      <c r="J584" t="s">
        <v>124</v>
      </c>
      <c r="K584" t="s">
        <v>116</v>
      </c>
      <c r="N584" t="s">
        <v>126</v>
      </c>
      <c r="AE584">
        <f t="shared" si="0"/>
        <v>0</v>
      </c>
      <c r="AF584">
        <f t="shared" si="1"/>
        <v>0</v>
      </c>
      <c r="AG584">
        <f t="shared" si="2"/>
        <v>0</v>
      </c>
      <c r="AR584">
        <f t="shared" si="3"/>
        <v>0</v>
      </c>
      <c r="AS584">
        <f t="shared" si="4"/>
        <v>0</v>
      </c>
      <c r="AT584">
        <f t="shared" si="5"/>
        <v>0</v>
      </c>
      <c r="CI584">
        <f t="shared" si="6"/>
        <v>0</v>
      </c>
      <c r="CJ584">
        <f t="shared" si="7"/>
        <v>0</v>
      </c>
      <c r="CK584">
        <f t="shared" si="8"/>
        <v>0</v>
      </c>
      <c r="CL584" s="21">
        <f t="shared" si="9"/>
        <v>0</v>
      </c>
      <c r="CM584" s="21">
        <f t="shared" si="10"/>
        <v>0</v>
      </c>
      <c r="CN584" s="21">
        <f t="shared" si="11"/>
        <v>0</v>
      </c>
    </row>
    <row r="585" spans="1:92" x14ac:dyDescent="0.3">
      <c r="A585" s="25" t="s">
        <v>486</v>
      </c>
      <c r="B585" t="s">
        <v>108</v>
      </c>
      <c r="C585" t="s">
        <v>141</v>
      </c>
      <c r="D585">
        <v>411379</v>
      </c>
      <c r="E585" t="s">
        <v>491</v>
      </c>
      <c r="F585" t="s">
        <v>492</v>
      </c>
      <c r="G585" t="s">
        <v>112</v>
      </c>
      <c r="H585" t="s">
        <v>133</v>
      </c>
      <c r="I585" t="s">
        <v>123</v>
      </c>
      <c r="J585" t="s">
        <v>130</v>
      </c>
      <c r="K585" t="s">
        <v>116</v>
      </c>
      <c r="N585" t="s">
        <v>126</v>
      </c>
      <c r="AE585">
        <f t="shared" si="0"/>
        <v>0</v>
      </c>
      <c r="AF585">
        <f t="shared" si="1"/>
        <v>0</v>
      </c>
      <c r="AG585">
        <f t="shared" si="2"/>
        <v>0</v>
      </c>
      <c r="AR585">
        <f t="shared" si="3"/>
        <v>0</v>
      </c>
      <c r="AS585">
        <f t="shared" si="4"/>
        <v>0</v>
      </c>
      <c r="AT585">
        <f t="shared" si="5"/>
        <v>0</v>
      </c>
      <c r="AU585">
        <v>1</v>
      </c>
      <c r="AV585">
        <v>3</v>
      </c>
      <c r="AW585">
        <v>0</v>
      </c>
      <c r="AX585">
        <v>5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f t="shared" si="6"/>
        <v>2</v>
      </c>
      <c r="CJ585">
        <f t="shared" si="7"/>
        <v>8</v>
      </c>
      <c r="CK585">
        <f t="shared" si="8"/>
        <v>10</v>
      </c>
      <c r="CL585" s="21">
        <f t="shared" si="9"/>
        <v>2</v>
      </c>
      <c r="CM585" s="21">
        <f t="shared" si="10"/>
        <v>8</v>
      </c>
      <c r="CN585" s="21">
        <f t="shared" si="11"/>
        <v>10</v>
      </c>
    </row>
    <row r="586" spans="1:92" x14ac:dyDescent="0.3">
      <c r="A586" s="25" t="s">
        <v>486</v>
      </c>
      <c r="B586" t="s">
        <v>108</v>
      </c>
      <c r="C586" t="s">
        <v>426</v>
      </c>
      <c r="D586">
        <v>406448</v>
      </c>
      <c r="E586" t="s">
        <v>493</v>
      </c>
      <c r="F586" t="s">
        <v>494</v>
      </c>
      <c r="G586" t="s">
        <v>112</v>
      </c>
      <c r="H586" t="s">
        <v>147</v>
      </c>
      <c r="I586" t="s">
        <v>123</v>
      </c>
      <c r="J586" t="s">
        <v>124</v>
      </c>
      <c r="K586" t="s">
        <v>116</v>
      </c>
      <c r="N586" t="s">
        <v>515</v>
      </c>
      <c r="AE586">
        <f t="shared" si="0"/>
        <v>0</v>
      </c>
      <c r="AF586">
        <f t="shared" si="1"/>
        <v>0</v>
      </c>
      <c r="AG586">
        <f t="shared" si="2"/>
        <v>0</v>
      </c>
      <c r="AR586">
        <f t="shared" si="3"/>
        <v>0</v>
      </c>
      <c r="AS586">
        <f t="shared" si="4"/>
        <v>0</v>
      </c>
      <c r="AT586">
        <f t="shared" si="5"/>
        <v>0</v>
      </c>
      <c r="CI586">
        <f t="shared" si="6"/>
        <v>0</v>
      </c>
      <c r="CJ586">
        <f t="shared" si="7"/>
        <v>0</v>
      </c>
      <c r="CK586">
        <f t="shared" si="8"/>
        <v>0</v>
      </c>
      <c r="CL586" s="21">
        <f t="shared" si="9"/>
        <v>0</v>
      </c>
      <c r="CM586" s="21">
        <f t="shared" si="10"/>
        <v>0</v>
      </c>
      <c r="CN586" s="21">
        <f t="shared" si="11"/>
        <v>0</v>
      </c>
    </row>
    <row r="587" spans="1:92" x14ac:dyDescent="0.3">
      <c r="A587" s="25" t="s">
        <v>486</v>
      </c>
      <c r="B587" t="s">
        <v>108</v>
      </c>
      <c r="C587" t="s">
        <v>144</v>
      </c>
      <c r="D587">
        <v>305341</v>
      </c>
      <c r="E587" t="s">
        <v>145</v>
      </c>
      <c r="F587" t="s">
        <v>429</v>
      </c>
      <c r="G587" t="s">
        <v>112</v>
      </c>
      <c r="H587" t="s">
        <v>147</v>
      </c>
      <c r="I587" t="s">
        <v>114</v>
      </c>
      <c r="J587" t="s">
        <v>115</v>
      </c>
      <c r="K587" t="s">
        <v>116</v>
      </c>
      <c r="N587" t="s">
        <v>119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f t="shared" si="0"/>
        <v>0</v>
      </c>
      <c r="AF587">
        <f t="shared" si="1"/>
        <v>0</v>
      </c>
      <c r="AG587">
        <f t="shared" si="2"/>
        <v>0</v>
      </c>
      <c r="AH587">
        <v>5</v>
      </c>
      <c r="AI587">
        <v>1</v>
      </c>
      <c r="AJ587">
        <v>0</v>
      </c>
      <c r="AK587">
        <v>0</v>
      </c>
      <c r="AL587">
        <v>4</v>
      </c>
      <c r="AM587">
        <v>10</v>
      </c>
      <c r="AN587">
        <v>4</v>
      </c>
      <c r="AO587">
        <v>1</v>
      </c>
      <c r="AP587">
        <v>0</v>
      </c>
      <c r="AQ587">
        <v>0</v>
      </c>
      <c r="AR587">
        <f t="shared" si="3"/>
        <v>13</v>
      </c>
      <c r="AS587">
        <f t="shared" si="4"/>
        <v>12</v>
      </c>
      <c r="AT587">
        <f t="shared" si="5"/>
        <v>25</v>
      </c>
      <c r="AU587">
        <v>1</v>
      </c>
      <c r="AV587">
        <v>3</v>
      </c>
      <c r="AW587">
        <v>0</v>
      </c>
      <c r="AX587">
        <v>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4</v>
      </c>
      <c r="BF587">
        <v>3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3</v>
      </c>
      <c r="BS587">
        <v>4</v>
      </c>
      <c r="BT587">
        <v>1</v>
      </c>
      <c r="BU587">
        <v>3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2</v>
      </c>
      <c r="CB587">
        <v>2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f t="shared" si="6"/>
        <v>14</v>
      </c>
      <c r="CJ587">
        <f t="shared" si="7"/>
        <v>16</v>
      </c>
      <c r="CK587">
        <f t="shared" si="8"/>
        <v>30</v>
      </c>
      <c r="CL587" s="21">
        <f t="shared" si="9"/>
        <v>27</v>
      </c>
      <c r="CM587" s="21">
        <f t="shared" si="10"/>
        <v>28</v>
      </c>
      <c r="CN587" s="21">
        <f t="shared" si="11"/>
        <v>55</v>
      </c>
    </row>
    <row r="588" spans="1:92" x14ac:dyDescent="0.3">
      <c r="A588" s="25" t="s">
        <v>486</v>
      </c>
      <c r="B588" t="s">
        <v>108</v>
      </c>
      <c r="C588" t="s">
        <v>144</v>
      </c>
      <c r="D588">
        <v>406451</v>
      </c>
      <c r="E588" t="s">
        <v>430</v>
      </c>
      <c r="F588" t="s">
        <v>431</v>
      </c>
      <c r="G588" t="s">
        <v>112</v>
      </c>
      <c r="H588" t="s">
        <v>147</v>
      </c>
      <c r="I588" t="s">
        <v>123</v>
      </c>
      <c r="J588" t="s">
        <v>124</v>
      </c>
      <c r="K588" t="s">
        <v>116</v>
      </c>
      <c r="N588" t="s">
        <v>163</v>
      </c>
      <c r="AE588">
        <f t="shared" si="0"/>
        <v>0</v>
      </c>
      <c r="AF588">
        <f t="shared" si="1"/>
        <v>0</v>
      </c>
      <c r="AG588">
        <f t="shared" si="2"/>
        <v>0</v>
      </c>
      <c r="AR588">
        <f t="shared" si="3"/>
        <v>0</v>
      </c>
      <c r="AS588">
        <f t="shared" si="4"/>
        <v>0</v>
      </c>
      <c r="AT588">
        <f t="shared" si="5"/>
        <v>0</v>
      </c>
      <c r="CI588">
        <f t="shared" si="6"/>
        <v>0</v>
      </c>
      <c r="CJ588">
        <f t="shared" si="7"/>
        <v>0</v>
      </c>
      <c r="CK588">
        <f t="shared" si="8"/>
        <v>0</v>
      </c>
      <c r="CL588" s="21">
        <f t="shared" si="9"/>
        <v>0</v>
      </c>
      <c r="CM588" s="21">
        <f t="shared" si="10"/>
        <v>0</v>
      </c>
      <c r="CN588" s="21">
        <f t="shared" si="11"/>
        <v>0</v>
      </c>
    </row>
    <row r="589" spans="1:92" x14ac:dyDescent="0.3">
      <c r="A589" s="25" t="s">
        <v>486</v>
      </c>
      <c r="B589" t="s">
        <v>108</v>
      </c>
      <c r="C589" t="s">
        <v>144</v>
      </c>
      <c r="D589">
        <v>482569</v>
      </c>
      <c r="E589" t="s">
        <v>432</v>
      </c>
      <c r="F589" t="s">
        <v>433</v>
      </c>
      <c r="G589" t="s">
        <v>112</v>
      </c>
      <c r="H589" t="s">
        <v>138</v>
      </c>
      <c r="I589" t="s">
        <v>123</v>
      </c>
      <c r="J589" t="s">
        <v>124</v>
      </c>
      <c r="K589" t="s">
        <v>116</v>
      </c>
      <c r="N589" t="s">
        <v>163</v>
      </c>
      <c r="AE589">
        <f t="shared" si="0"/>
        <v>0</v>
      </c>
      <c r="AF589">
        <f t="shared" si="1"/>
        <v>0</v>
      </c>
      <c r="AG589">
        <f t="shared" si="2"/>
        <v>0</v>
      </c>
      <c r="AR589">
        <f t="shared" si="3"/>
        <v>0</v>
      </c>
      <c r="AS589">
        <f t="shared" si="4"/>
        <v>0</v>
      </c>
      <c r="AT589">
        <f t="shared" si="5"/>
        <v>0</v>
      </c>
      <c r="CI589">
        <f t="shared" si="6"/>
        <v>0</v>
      </c>
      <c r="CJ589">
        <f t="shared" si="7"/>
        <v>0</v>
      </c>
      <c r="CK589">
        <f t="shared" si="8"/>
        <v>0</v>
      </c>
      <c r="CL589" s="21">
        <f t="shared" si="9"/>
        <v>0</v>
      </c>
      <c r="CM589" s="21">
        <f t="shared" si="10"/>
        <v>0</v>
      </c>
      <c r="CN589" s="21">
        <f t="shared" si="11"/>
        <v>0</v>
      </c>
    </row>
    <row r="590" spans="1:92" x14ac:dyDescent="0.3">
      <c r="A590" s="25" t="s">
        <v>486</v>
      </c>
      <c r="B590" t="s">
        <v>108</v>
      </c>
      <c r="C590" t="s">
        <v>144</v>
      </c>
      <c r="D590">
        <v>482792</v>
      </c>
      <c r="E590" t="s">
        <v>164</v>
      </c>
      <c r="F590" t="s">
        <v>165</v>
      </c>
      <c r="G590" t="s">
        <v>112</v>
      </c>
      <c r="H590" t="s">
        <v>147</v>
      </c>
      <c r="I590" t="s">
        <v>123</v>
      </c>
      <c r="J590" t="s">
        <v>124</v>
      </c>
      <c r="K590" t="s">
        <v>116</v>
      </c>
      <c r="N590" t="s">
        <v>163</v>
      </c>
      <c r="AE590">
        <f t="shared" si="0"/>
        <v>0</v>
      </c>
      <c r="AF590">
        <f t="shared" si="1"/>
        <v>0</v>
      </c>
      <c r="AG590">
        <f t="shared" si="2"/>
        <v>0</v>
      </c>
      <c r="AR590">
        <f t="shared" si="3"/>
        <v>0</v>
      </c>
      <c r="AS590">
        <f t="shared" si="4"/>
        <v>0</v>
      </c>
      <c r="AT590">
        <f t="shared" si="5"/>
        <v>0</v>
      </c>
      <c r="CI590">
        <f t="shared" si="6"/>
        <v>0</v>
      </c>
      <c r="CJ590">
        <f t="shared" si="7"/>
        <v>0</v>
      </c>
      <c r="CK590">
        <f t="shared" si="8"/>
        <v>0</v>
      </c>
      <c r="CL590" s="21">
        <f t="shared" si="9"/>
        <v>0</v>
      </c>
      <c r="CM590" s="21">
        <f t="shared" si="10"/>
        <v>0</v>
      </c>
      <c r="CN590" s="21">
        <f t="shared" si="11"/>
        <v>0</v>
      </c>
    </row>
    <row r="591" spans="1:92" x14ac:dyDescent="0.3">
      <c r="A591" s="25" t="s">
        <v>486</v>
      </c>
      <c r="B591" t="s">
        <v>108</v>
      </c>
      <c r="C591" t="s">
        <v>166</v>
      </c>
      <c r="D591">
        <v>305340</v>
      </c>
      <c r="E591" t="s">
        <v>167</v>
      </c>
      <c r="F591" t="s">
        <v>168</v>
      </c>
      <c r="G591" t="s">
        <v>112</v>
      </c>
      <c r="H591" t="s">
        <v>169</v>
      </c>
      <c r="I591" t="s">
        <v>114</v>
      </c>
      <c r="J591" t="s">
        <v>115</v>
      </c>
      <c r="K591" t="s">
        <v>116</v>
      </c>
      <c r="N591" t="s">
        <v>119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f t="shared" si="0"/>
        <v>0</v>
      </c>
      <c r="AF591">
        <f t="shared" si="1"/>
        <v>0</v>
      </c>
      <c r="AG591">
        <f t="shared" si="2"/>
        <v>0</v>
      </c>
      <c r="AH591">
        <v>28</v>
      </c>
      <c r="AI591">
        <v>15</v>
      </c>
      <c r="AJ591">
        <v>15</v>
      </c>
      <c r="AK591">
        <v>8</v>
      </c>
      <c r="AL591">
        <v>25</v>
      </c>
      <c r="AM591">
        <v>18</v>
      </c>
      <c r="AN591">
        <v>8</v>
      </c>
      <c r="AO591">
        <v>17</v>
      </c>
      <c r="AP591">
        <v>0</v>
      </c>
      <c r="AQ591">
        <v>0</v>
      </c>
      <c r="AR591">
        <f t="shared" si="3"/>
        <v>76</v>
      </c>
      <c r="AS591">
        <f t="shared" si="4"/>
        <v>58</v>
      </c>
      <c r="AT591">
        <f t="shared" si="5"/>
        <v>134</v>
      </c>
      <c r="AU591">
        <v>3</v>
      </c>
      <c r="AV591">
        <v>4</v>
      </c>
      <c r="AW591">
        <v>3</v>
      </c>
      <c r="AX591">
        <v>5</v>
      </c>
      <c r="AY591">
        <v>2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7</v>
      </c>
      <c r="BF591">
        <v>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11</v>
      </c>
      <c r="BS591">
        <v>6</v>
      </c>
      <c r="BT591">
        <v>10</v>
      </c>
      <c r="BU591">
        <v>2</v>
      </c>
      <c r="BV591">
        <v>6</v>
      </c>
      <c r="BW591">
        <v>0</v>
      </c>
      <c r="BX591">
        <v>0</v>
      </c>
      <c r="BY591">
        <v>0</v>
      </c>
      <c r="BZ591">
        <v>0</v>
      </c>
      <c r="CA591">
        <v>13</v>
      </c>
      <c r="CB591">
        <v>5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f t="shared" si="6"/>
        <v>37</v>
      </c>
      <c r="CJ591">
        <f t="shared" si="7"/>
        <v>45</v>
      </c>
      <c r="CK591">
        <f t="shared" si="8"/>
        <v>82</v>
      </c>
      <c r="CL591" s="21">
        <f t="shared" si="9"/>
        <v>113</v>
      </c>
      <c r="CM591" s="21">
        <f t="shared" si="10"/>
        <v>103</v>
      </c>
      <c r="CN591" s="21">
        <f t="shared" si="11"/>
        <v>216</v>
      </c>
    </row>
    <row r="592" spans="1:92" x14ac:dyDescent="0.3">
      <c r="A592" s="25" t="s">
        <v>486</v>
      </c>
      <c r="B592" t="s">
        <v>108</v>
      </c>
      <c r="C592" t="s">
        <v>166</v>
      </c>
      <c r="D592">
        <v>305342</v>
      </c>
      <c r="E592" t="s">
        <v>170</v>
      </c>
      <c r="F592" t="s">
        <v>171</v>
      </c>
      <c r="G592" t="s">
        <v>112</v>
      </c>
      <c r="H592" t="s">
        <v>113</v>
      </c>
      <c r="I592" t="s">
        <v>114</v>
      </c>
      <c r="J592" t="s">
        <v>115</v>
      </c>
      <c r="K592" t="s">
        <v>116</v>
      </c>
      <c r="N592" s="17" t="s">
        <v>188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f t="shared" si="0"/>
        <v>0</v>
      </c>
      <c r="AF592">
        <f t="shared" si="1"/>
        <v>0</v>
      </c>
      <c r="AG592">
        <f t="shared" si="2"/>
        <v>0</v>
      </c>
      <c r="AH592">
        <v>15</v>
      </c>
      <c r="AI592">
        <v>19</v>
      </c>
      <c r="AJ592">
        <v>14</v>
      </c>
      <c r="AK592">
        <v>15</v>
      </c>
      <c r="AL592">
        <v>9</v>
      </c>
      <c r="AM592">
        <v>14</v>
      </c>
      <c r="AN592">
        <v>14</v>
      </c>
      <c r="AO592">
        <v>17</v>
      </c>
      <c r="AP592">
        <v>0</v>
      </c>
      <c r="AQ592">
        <v>0</v>
      </c>
      <c r="AR592">
        <f t="shared" si="3"/>
        <v>52</v>
      </c>
      <c r="AS592">
        <f t="shared" si="4"/>
        <v>65</v>
      </c>
      <c r="AT592">
        <f t="shared" si="5"/>
        <v>117</v>
      </c>
      <c r="CI592">
        <f t="shared" si="6"/>
        <v>0</v>
      </c>
      <c r="CJ592">
        <f t="shared" si="7"/>
        <v>0</v>
      </c>
      <c r="CK592">
        <f t="shared" si="8"/>
        <v>0</v>
      </c>
      <c r="CL592" s="21">
        <f t="shared" si="9"/>
        <v>52</v>
      </c>
      <c r="CM592" s="21">
        <f t="shared" si="10"/>
        <v>65</v>
      </c>
      <c r="CN592" s="21">
        <f t="shared" si="11"/>
        <v>117</v>
      </c>
    </row>
    <row r="593" spans="1:92" x14ac:dyDescent="0.3">
      <c r="A593" s="25" t="s">
        <v>486</v>
      </c>
      <c r="B593" t="s">
        <v>108</v>
      </c>
      <c r="C593" t="s">
        <v>166</v>
      </c>
      <c r="D593">
        <v>319504</v>
      </c>
      <c r="E593" t="s">
        <v>172</v>
      </c>
      <c r="F593" t="s">
        <v>173</v>
      </c>
      <c r="G593" t="s">
        <v>112</v>
      </c>
      <c r="H593" t="s">
        <v>174</v>
      </c>
      <c r="I593" t="s">
        <v>114</v>
      </c>
      <c r="J593" t="s">
        <v>115</v>
      </c>
      <c r="K593" t="s">
        <v>116</v>
      </c>
      <c r="N593" s="17" t="s">
        <v>188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f t="shared" si="0"/>
        <v>0</v>
      </c>
      <c r="AF593">
        <f t="shared" si="1"/>
        <v>0</v>
      </c>
      <c r="AG593">
        <f t="shared" si="2"/>
        <v>0</v>
      </c>
      <c r="AH593">
        <v>40</v>
      </c>
      <c r="AI593">
        <v>47</v>
      </c>
      <c r="AJ593">
        <v>31</v>
      </c>
      <c r="AK593">
        <v>36</v>
      </c>
      <c r="AL593">
        <v>29</v>
      </c>
      <c r="AM593">
        <v>42</v>
      </c>
      <c r="AN593">
        <v>39</v>
      </c>
      <c r="AO593">
        <v>51</v>
      </c>
      <c r="AP593">
        <v>0</v>
      </c>
      <c r="AQ593">
        <v>0</v>
      </c>
      <c r="AR593">
        <f t="shared" si="3"/>
        <v>139</v>
      </c>
      <c r="AS593">
        <f t="shared" si="4"/>
        <v>176</v>
      </c>
      <c r="AT593">
        <f t="shared" si="5"/>
        <v>315</v>
      </c>
      <c r="CI593">
        <f t="shared" si="6"/>
        <v>0</v>
      </c>
      <c r="CJ593">
        <f t="shared" si="7"/>
        <v>0</v>
      </c>
      <c r="CK593">
        <f t="shared" si="8"/>
        <v>0</v>
      </c>
      <c r="CL593" s="21">
        <f t="shared" si="9"/>
        <v>139</v>
      </c>
      <c r="CM593" s="21">
        <f t="shared" si="10"/>
        <v>176</v>
      </c>
      <c r="CN593" s="21">
        <f t="shared" si="11"/>
        <v>315</v>
      </c>
    </row>
    <row r="594" spans="1:92" x14ac:dyDescent="0.3">
      <c r="A594" s="25" t="s">
        <v>486</v>
      </c>
      <c r="B594" t="s">
        <v>108</v>
      </c>
      <c r="C594" t="s">
        <v>166</v>
      </c>
      <c r="D594">
        <v>406472</v>
      </c>
      <c r="E594" t="s">
        <v>175</v>
      </c>
      <c r="F594" t="s">
        <v>176</v>
      </c>
      <c r="G594" t="s">
        <v>112</v>
      </c>
      <c r="H594" t="s">
        <v>174</v>
      </c>
      <c r="I594" t="s">
        <v>123</v>
      </c>
      <c r="J594" t="s">
        <v>124</v>
      </c>
      <c r="K594" t="s">
        <v>116</v>
      </c>
      <c r="N594" t="s">
        <v>515</v>
      </c>
      <c r="AE594">
        <f t="shared" si="0"/>
        <v>0</v>
      </c>
      <c r="AF594">
        <f t="shared" si="1"/>
        <v>0</v>
      </c>
      <c r="AG594">
        <f t="shared" si="2"/>
        <v>0</v>
      </c>
      <c r="AR594">
        <f t="shared" si="3"/>
        <v>0</v>
      </c>
      <c r="AS594">
        <f t="shared" si="4"/>
        <v>0</v>
      </c>
      <c r="AT594">
        <f t="shared" si="5"/>
        <v>0</v>
      </c>
      <c r="CI594">
        <f t="shared" si="6"/>
        <v>0</v>
      </c>
      <c r="CJ594">
        <f t="shared" si="7"/>
        <v>0</v>
      </c>
      <c r="CK594">
        <f t="shared" si="8"/>
        <v>0</v>
      </c>
      <c r="CL594" s="21">
        <f t="shared" si="9"/>
        <v>0</v>
      </c>
      <c r="CM594" s="21">
        <f t="shared" si="10"/>
        <v>0</v>
      </c>
      <c r="CN594" s="21">
        <f t="shared" si="11"/>
        <v>0</v>
      </c>
    </row>
    <row r="595" spans="1:92" x14ac:dyDescent="0.3">
      <c r="A595" s="25" t="s">
        <v>486</v>
      </c>
      <c r="B595" t="s">
        <v>108</v>
      </c>
      <c r="C595" t="s">
        <v>166</v>
      </c>
      <c r="D595">
        <v>482540</v>
      </c>
      <c r="E595" t="s">
        <v>177</v>
      </c>
      <c r="F595" t="s">
        <v>178</v>
      </c>
      <c r="G595" t="s">
        <v>112</v>
      </c>
      <c r="H595" t="s">
        <v>133</v>
      </c>
      <c r="I595" t="s">
        <v>123</v>
      </c>
      <c r="J595" t="s">
        <v>124</v>
      </c>
      <c r="K595" t="s">
        <v>116</v>
      </c>
      <c r="N595" t="s">
        <v>515</v>
      </c>
      <c r="AE595">
        <f t="shared" si="0"/>
        <v>0</v>
      </c>
      <c r="AF595">
        <f t="shared" si="1"/>
        <v>0</v>
      </c>
      <c r="AG595">
        <f t="shared" si="2"/>
        <v>0</v>
      </c>
      <c r="AR595">
        <f t="shared" si="3"/>
        <v>0</v>
      </c>
      <c r="AS595">
        <f t="shared" si="4"/>
        <v>0</v>
      </c>
      <c r="AT595">
        <f t="shared" si="5"/>
        <v>0</v>
      </c>
      <c r="CI595">
        <f t="shared" si="6"/>
        <v>0</v>
      </c>
      <c r="CJ595">
        <f t="shared" si="7"/>
        <v>0</v>
      </c>
      <c r="CK595">
        <f t="shared" si="8"/>
        <v>0</v>
      </c>
      <c r="CL595" s="21">
        <f t="shared" si="9"/>
        <v>0</v>
      </c>
      <c r="CM595" s="21">
        <f t="shared" si="10"/>
        <v>0</v>
      </c>
      <c r="CN595" s="21">
        <f t="shared" si="11"/>
        <v>0</v>
      </c>
    </row>
    <row r="596" spans="1:92" x14ac:dyDescent="0.3">
      <c r="A596" s="25" t="s">
        <v>486</v>
      </c>
      <c r="B596" t="s">
        <v>108</v>
      </c>
      <c r="C596" t="s">
        <v>166</v>
      </c>
      <c r="D596">
        <v>482606</v>
      </c>
      <c r="E596" t="s">
        <v>438</v>
      </c>
      <c r="F596" t="s">
        <v>439</v>
      </c>
      <c r="G596" t="s">
        <v>112</v>
      </c>
      <c r="H596" t="s">
        <v>261</v>
      </c>
      <c r="I596" t="s">
        <v>123</v>
      </c>
      <c r="J596" t="s">
        <v>124</v>
      </c>
      <c r="K596" t="s">
        <v>116</v>
      </c>
      <c r="N596" t="s">
        <v>163</v>
      </c>
      <c r="AE596">
        <f t="shared" si="0"/>
        <v>0</v>
      </c>
      <c r="AF596">
        <f t="shared" si="1"/>
        <v>0</v>
      </c>
      <c r="AG596">
        <f t="shared" si="2"/>
        <v>0</v>
      </c>
      <c r="AR596">
        <f t="shared" si="3"/>
        <v>0</v>
      </c>
      <c r="AS596">
        <f t="shared" si="4"/>
        <v>0</v>
      </c>
      <c r="AT596">
        <f t="shared" si="5"/>
        <v>0</v>
      </c>
      <c r="CI596">
        <f t="shared" si="6"/>
        <v>0</v>
      </c>
      <c r="CJ596">
        <f t="shared" si="7"/>
        <v>0</v>
      </c>
      <c r="CK596">
        <f t="shared" si="8"/>
        <v>0</v>
      </c>
      <c r="CL596" s="21">
        <f t="shared" si="9"/>
        <v>0</v>
      </c>
      <c r="CM596" s="21">
        <f t="shared" si="10"/>
        <v>0</v>
      </c>
      <c r="CN596" s="21">
        <f t="shared" si="11"/>
        <v>0</v>
      </c>
    </row>
    <row r="597" spans="1:92" x14ac:dyDescent="0.3">
      <c r="A597" s="25" t="s">
        <v>486</v>
      </c>
      <c r="B597" t="s">
        <v>108</v>
      </c>
      <c r="C597" t="s">
        <v>166</v>
      </c>
      <c r="D597">
        <v>482771</v>
      </c>
      <c r="E597" t="s">
        <v>440</v>
      </c>
      <c r="F597" t="s">
        <v>441</v>
      </c>
      <c r="G597" t="s">
        <v>112</v>
      </c>
      <c r="H597" t="s">
        <v>133</v>
      </c>
      <c r="I597" t="s">
        <v>123</v>
      </c>
      <c r="J597" t="s">
        <v>124</v>
      </c>
      <c r="K597" t="s">
        <v>116</v>
      </c>
      <c r="N597" t="s">
        <v>163</v>
      </c>
      <c r="AE597">
        <f t="shared" si="0"/>
        <v>0</v>
      </c>
      <c r="AF597">
        <f t="shared" si="1"/>
        <v>0</v>
      </c>
      <c r="AG597">
        <f t="shared" si="2"/>
        <v>0</v>
      </c>
      <c r="AR597">
        <f t="shared" si="3"/>
        <v>0</v>
      </c>
      <c r="AS597">
        <f t="shared" si="4"/>
        <v>0</v>
      </c>
      <c r="AT597">
        <f t="shared" si="5"/>
        <v>0</v>
      </c>
      <c r="CI597">
        <f t="shared" si="6"/>
        <v>0</v>
      </c>
      <c r="CJ597">
        <f t="shared" si="7"/>
        <v>0</v>
      </c>
      <c r="CK597">
        <f t="shared" si="8"/>
        <v>0</v>
      </c>
      <c r="CL597" s="21">
        <f t="shared" si="9"/>
        <v>0</v>
      </c>
      <c r="CM597" s="21">
        <f t="shared" si="10"/>
        <v>0</v>
      </c>
      <c r="CN597" s="21">
        <f t="shared" si="11"/>
        <v>0</v>
      </c>
    </row>
    <row r="598" spans="1:92" x14ac:dyDescent="0.3">
      <c r="A598" s="25" t="s">
        <v>486</v>
      </c>
      <c r="B598" t="s">
        <v>108</v>
      </c>
      <c r="C598" t="s">
        <v>166</v>
      </c>
      <c r="D598">
        <v>482813</v>
      </c>
      <c r="E598" t="s">
        <v>468</v>
      </c>
      <c r="F598" t="s">
        <v>495</v>
      </c>
      <c r="G598" t="s">
        <v>112</v>
      </c>
      <c r="H598" t="s">
        <v>113</v>
      </c>
      <c r="I598" t="s">
        <v>123</v>
      </c>
      <c r="J598" t="s">
        <v>124</v>
      </c>
      <c r="K598" t="s">
        <v>116</v>
      </c>
      <c r="N598" t="s">
        <v>163</v>
      </c>
      <c r="AE598">
        <f t="shared" si="0"/>
        <v>0</v>
      </c>
      <c r="AF598">
        <f t="shared" si="1"/>
        <v>0</v>
      </c>
      <c r="AG598">
        <f t="shared" si="2"/>
        <v>0</v>
      </c>
      <c r="AR598">
        <f t="shared" si="3"/>
        <v>0</v>
      </c>
      <c r="AS598">
        <f t="shared" si="4"/>
        <v>0</v>
      </c>
      <c r="AT598">
        <f t="shared" si="5"/>
        <v>0</v>
      </c>
      <c r="CI598">
        <f t="shared" si="6"/>
        <v>0</v>
      </c>
      <c r="CJ598">
        <f t="shared" si="7"/>
        <v>0</v>
      </c>
      <c r="CK598">
        <f t="shared" si="8"/>
        <v>0</v>
      </c>
      <c r="CL598" s="21">
        <f t="shared" si="9"/>
        <v>0</v>
      </c>
      <c r="CM598" s="21">
        <f t="shared" si="10"/>
        <v>0</v>
      </c>
      <c r="CN598" s="21">
        <f t="shared" si="11"/>
        <v>0</v>
      </c>
    </row>
    <row r="599" spans="1:92" x14ac:dyDescent="0.3">
      <c r="A599" s="25" t="s">
        <v>486</v>
      </c>
      <c r="B599" t="s">
        <v>108</v>
      </c>
      <c r="C599" t="s">
        <v>181</v>
      </c>
      <c r="D599">
        <v>305336</v>
      </c>
      <c r="E599" t="s">
        <v>182</v>
      </c>
      <c r="F599" t="s">
        <v>183</v>
      </c>
      <c r="G599" t="s">
        <v>112</v>
      </c>
      <c r="H599" t="s">
        <v>129</v>
      </c>
      <c r="I599" t="s">
        <v>114</v>
      </c>
      <c r="J599" t="s">
        <v>115</v>
      </c>
      <c r="K599" t="s">
        <v>116</v>
      </c>
      <c r="N599" t="s">
        <v>119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f t="shared" si="0"/>
        <v>0</v>
      </c>
      <c r="AF599">
        <f t="shared" si="1"/>
        <v>0</v>
      </c>
      <c r="AG599">
        <f t="shared" si="2"/>
        <v>0</v>
      </c>
      <c r="AH599">
        <v>5</v>
      </c>
      <c r="AI599">
        <v>2</v>
      </c>
      <c r="AJ599">
        <v>0</v>
      </c>
      <c r="AK599">
        <v>0</v>
      </c>
      <c r="AL599">
        <v>1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f t="shared" si="3"/>
        <v>7</v>
      </c>
      <c r="AS599">
        <f t="shared" si="4"/>
        <v>2</v>
      </c>
      <c r="AT599">
        <f t="shared" si="5"/>
        <v>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17</v>
      </c>
      <c r="BN599">
        <v>25</v>
      </c>
      <c r="BO599">
        <v>21</v>
      </c>
      <c r="BP599">
        <v>25</v>
      </c>
      <c r="BQ599">
        <v>1</v>
      </c>
      <c r="BR599">
        <v>7</v>
      </c>
      <c r="BS599">
        <v>4</v>
      </c>
      <c r="BT599">
        <v>5</v>
      </c>
      <c r="BU599">
        <v>3</v>
      </c>
      <c r="BV599">
        <v>7</v>
      </c>
      <c r="BW599">
        <v>0</v>
      </c>
      <c r="BX599">
        <v>0</v>
      </c>
      <c r="BY599">
        <v>0</v>
      </c>
      <c r="BZ599">
        <v>0</v>
      </c>
      <c r="CA599">
        <v>8</v>
      </c>
      <c r="CB599">
        <v>10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f t="shared" si="6"/>
        <v>54</v>
      </c>
      <c r="CJ599">
        <f t="shared" si="7"/>
        <v>79</v>
      </c>
      <c r="CK599">
        <f t="shared" si="8"/>
        <v>133</v>
      </c>
      <c r="CL599" s="21">
        <f t="shared" si="9"/>
        <v>61</v>
      </c>
      <c r="CM599" s="21">
        <f t="shared" si="10"/>
        <v>81</v>
      </c>
      <c r="CN599" s="21">
        <f t="shared" si="11"/>
        <v>142</v>
      </c>
    </row>
    <row r="600" spans="1:92" x14ac:dyDescent="0.3">
      <c r="A600" s="25" t="s">
        <v>486</v>
      </c>
      <c r="B600" t="s">
        <v>108</v>
      </c>
      <c r="C600" t="s">
        <v>181</v>
      </c>
      <c r="D600">
        <v>305338</v>
      </c>
      <c r="E600" t="s">
        <v>184</v>
      </c>
      <c r="F600" t="s">
        <v>185</v>
      </c>
      <c r="G600" t="s">
        <v>112</v>
      </c>
      <c r="H600" t="s">
        <v>186</v>
      </c>
      <c r="I600" t="s">
        <v>114</v>
      </c>
      <c r="J600" t="s">
        <v>115</v>
      </c>
      <c r="K600" t="s">
        <v>116</v>
      </c>
      <c r="N600" t="s">
        <v>188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f t="shared" si="0"/>
        <v>0</v>
      </c>
      <c r="AF600">
        <f t="shared" si="1"/>
        <v>0</v>
      </c>
      <c r="AG600">
        <f t="shared" si="2"/>
        <v>0</v>
      </c>
      <c r="AH600">
        <v>6</v>
      </c>
      <c r="AI600">
        <v>8</v>
      </c>
      <c r="AJ600">
        <v>0</v>
      </c>
      <c r="AK600">
        <v>0</v>
      </c>
      <c r="AL600">
        <v>3</v>
      </c>
      <c r="AM600">
        <v>2</v>
      </c>
      <c r="AN600">
        <v>11</v>
      </c>
      <c r="AO600">
        <v>6</v>
      </c>
      <c r="AP600">
        <v>0</v>
      </c>
      <c r="AQ600">
        <v>0</v>
      </c>
      <c r="AR600">
        <f t="shared" si="3"/>
        <v>20</v>
      </c>
      <c r="AS600">
        <f t="shared" si="4"/>
        <v>16</v>
      </c>
      <c r="AT600">
        <f t="shared" si="5"/>
        <v>36</v>
      </c>
      <c r="CI600">
        <f t="shared" si="6"/>
        <v>0</v>
      </c>
      <c r="CJ600">
        <f t="shared" si="7"/>
        <v>0</v>
      </c>
      <c r="CK600">
        <f t="shared" si="8"/>
        <v>0</v>
      </c>
      <c r="CL600" s="21">
        <f t="shared" si="9"/>
        <v>20</v>
      </c>
      <c r="CM600" s="21">
        <f t="shared" si="10"/>
        <v>16</v>
      </c>
      <c r="CN600" s="21">
        <f t="shared" si="11"/>
        <v>36</v>
      </c>
    </row>
    <row r="601" spans="1:92" x14ac:dyDescent="0.3">
      <c r="A601" s="25" t="s">
        <v>486</v>
      </c>
      <c r="B601" t="s">
        <v>108</v>
      </c>
      <c r="C601" t="s">
        <v>181</v>
      </c>
      <c r="D601">
        <v>305339</v>
      </c>
      <c r="E601" t="s">
        <v>189</v>
      </c>
      <c r="F601" t="s">
        <v>190</v>
      </c>
      <c r="G601" t="s">
        <v>112</v>
      </c>
      <c r="H601" t="s">
        <v>191</v>
      </c>
      <c r="I601" t="s">
        <v>114</v>
      </c>
      <c r="J601" t="s">
        <v>115</v>
      </c>
      <c r="K601" t="s">
        <v>116</v>
      </c>
      <c r="N601" t="s">
        <v>119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f t="shared" si="0"/>
        <v>0</v>
      </c>
      <c r="AF601">
        <f t="shared" si="1"/>
        <v>0</v>
      </c>
      <c r="AG601">
        <f t="shared" si="2"/>
        <v>0</v>
      </c>
      <c r="AH601">
        <v>5</v>
      </c>
      <c r="AI601">
        <v>2</v>
      </c>
      <c r="AJ601">
        <v>6</v>
      </c>
      <c r="AK601">
        <v>8</v>
      </c>
      <c r="AL601">
        <v>0</v>
      </c>
      <c r="AM601">
        <v>1</v>
      </c>
      <c r="AN601">
        <v>12</v>
      </c>
      <c r="AO601">
        <v>13</v>
      </c>
      <c r="AP601">
        <v>0</v>
      </c>
      <c r="AQ601">
        <v>0</v>
      </c>
      <c r="AR601">
        <f t="shared" si="3"/>
        <v>23</v>
      </c>
      <c r="AS601">
        <f t="shared" si="4"/>
        <v>24</v>
      </c>
      <c r="AT601">
        <f t="shared" si="5"/>
        <v>47</v>
      </c>
      <c r="AU601">
        <v>1</v>
      </c>
      <c r="AV601">
        <v>2</v>
      </c>
      <c r="AW601">
        <v>3</v>
      </c>
      <c r="AX601">
        <v>4</v>
      </c>
      <c r="AY601">
        <v>2</v>
      </c>
      <c r="AZ601">
        <v>7</v>
      </c>
      <c r="BA601">
        <v>2</v>
      </c>
      <c r="BB601">
        <v>2</v>
      </c>
      <c r="BC601">
        <v>0</v>
      </c>
      <c r="BD601">
        <v>0</v>
      </c>
      <c r="BE601">
        <v>5</v>
      </c>
      <c r="BF601">
        <v>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2</v>
      </c>
      <c r="BR601">
        <v>5</v>
      </c>
      <c r="BS601">
        <v>2</v>
      </c>
      <c r="BT601">
        <v>8</v>
      </c>
      <c r="BU601">
        <v>3</v>
      </c>
      <c r="BV601">
        <v>12</v>
      </c>
      <c r="BW601">
        <v>1</v>
      </c>
      <c r="BX601">
        <v>1</v>
      </c>
      <c r="BY601">
        <v>0</v>
      </c>
      <c r="BZ601">
        <v>0</v>
      </c>
      <c r="CA601">
        <v>10</v>
      </c>
      <c r="CB601">
        <v>6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f t="shared" si="6"/>
        <v>31</v>
      </c>
      <c r="CJ601">
        <f t="shared" si="7"/>
        <v>52</v>
      </c>
      <c r="CK601">
        <f t="shared" si="8"/>
        <v>83</v>
      </c>
      <c r="CL601" s="21">
        <f t="shared" si="9"/>
        <v>54</v>
      </c>
      <c r="CM601" s="21">
        <f t="shared" si="10"/>
        <v>76</v>
      </c>
      <c r="CN601" s="21">
        <f t="shared" si="11"/>
        <v>130</v>
      </c>
    </row>
    <row r="602" spans="1:92" x14ac:dyDescent="0.3">
      <c r="A602" s="25" t="s">
        <v>486</v>
      </c>
      <c r="B602" t="s">
        <v>108</v>
      </c>
      <c r="C602" t="s">
        <v>181</v>
      </c>
      <c r="D602">
        <v>401447</v>
      </c>
      <c r="E602" t="s">
        <v>192</v>
      </c>
      <c r="F602" t="s">
        <v>193</v>
      </c>
      <c r="G602" t="s">
        <v>112</v>
      </c>
      <c r="H602" t="s">
        <v>191</v>
      </c>
      <c r="I602" t="s">
        <v>123</v>
      </c>
      <c r="J602" t="s">
        <v>124</v>
      </c>
      <c r="K602" t="s">
        <v>116</v>
      </c>
      <c r="N602" t="s">
        <v>126</v>
      </c>
      <c r="AE602">
        <f t="shared" si="0"/>
        <v>0</v>
      </c>
      <c r="AF602">
        <f t="shared" si="1"/>
        <v>0</v>
      </c>
      <c r="AG602">
        <f t="shared" si="2"/>
        <v>0</v>
      </c>
      <c r="AR602">
        <f t="shared" si="3"/>
        <v>0</v>
      </c>
      <c r="AS602">
        <f t="shared" si="4"/>
        <v>0</v>
      </c>
      <c r="AT602">
        <f t="shared" si="5"/>
        <v>0</v>
      </c>
      <c r="AU602">
        <v>0</v>
      </c>
      <c r="AV602">
        <v>2</v>
      </c>
      <c r="AW602">
        <v>1</v>
      </c>
      <c r="AX602">
        <v>3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</v>
      </c>
      <c r="BT602">
        <v>1</v>
      </c>
      <c r="BU602">
        <v>1</v>
      </c>
      <c r="BV602">
        <v>1</v>
      </c>
      <c r="BW602">
        <v>0</v>
      </c>
      <c r="BX602">
        <v>0</v>
      </c>
      <c r="BY602">
        <v>0</v>
      </c>
      <c r="BZ602">
        <v>0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f t="shared" si="6"/>
        <v>6</v>
      </c>
      <c r="CJ602">
        <f t="shared" si="7"/>
        <v>8</v>
      </c>
      <c r="CK602">
        <f t="shared" si="8"/>
        <v>14</v>
      </c>
      <c r="CL602" s="21">
        <f t="shared" si="9"/>
        <v>6</v>
      </c>
      <c r="CM602" s="21">
        <f t="shared" si="10"/>
        <v>8</v>
      </c>
      <c r="CN602" s="21">
        <f t="shared" si="11"/>
        <v>14</v>
      </c>
    </row>
    <row r="603" spans="1:92" x14ac:dyDescent="0.3">
      <c r="A603" s="25" t="s">
        <v>486</v>
      </c>
      <c r="B603" t="s">
        <v>108</v>
      </c>
      <c r="C603" t="s">
        <v>181</v>
      </c>
      <c r="D603">
        <v>406460</v>
      </c>
      <c r="E603" t="s">
        <v>442</v>
      </c>
      <c r="F603" t="s">
        <v>443</v>
      </c>
      <c r="G603" t="s">
        <v>112</v>
      </c>
      <c r="H603" t="s">
        <v>169</v>
      </c>
      <c r="I603" t="s">
        <v>123</v>
      </c>
      <c r="J603" t="s">
        <v>124</v>
      </c>
      <c r="K603" t="s">
        <v>116</v>
      </c>
      <c r="N603" t="s">
        <v>515</v>
      </c>
      <c r="AE603">
        <f t="shared" si="0"/>
        <v>0</v>
      </c>
      <c r="AF603">
        <f t="shared" si="1"/>
        <v>0</v>
      </c>
      <c r="AG603">
        <f t="shared" si="2"/>
        <v>0</v>
      </c>
      <c r="AR603">
        <f t="shared" si="3"/>
        <v>0</v>
      </c>
      <c r="AS603">
        <f t="shared" si="4"/>
        <v>0</v>
      </c>
      <c r="AT603">
        <f t="shared" si="5"/>
        <v>0</v>
      </c>
      <c r="CI603">
        <f t="shared" si="6"/>
        <v>0</v>
      </c>
      <c r="CJ603">
        <f t="shared" si="7"/>
        <v>0</v>
      </c>
      <c r="CK603">
        <f t="shared" si="8"/>
        <v>0</v>
      </c>
      <c r="CL603" s="21">
        <f t="shared" si="9"/>
        <v>0</v>
      </c>
      <c r="CM603" s="21">
        <f t="shared" si="10"/>
        <v>0</v>
      </c>
      <c r="CN603" s="21">
        <f t="shared" si="11"/>
        <v>0</v>
      </c>
    </row>
    <row r="604" spans="1:92" x14ac:dyDescent="0.3">
      <c r="A604" s="25" t="s">
        <v>486</v>
      </c>
      <c r="B604" t="s">
        <v>108</v>
      </c>
      <c r="C604" t="s">
        <v>181</v>
      </c>
      <c r="D604">
        <v>406464</v>
      </c>
      <c r="E604" t="s">
        <v>470</v>
      </c>
      <c r="F604" t="s">
        <v>471</v>
      </c>
      <c r="G604" t="s">
        <v>112</v>
      </c>
      <c r="H604" t="s">
        <v>217</v>
      </c>
      <c r="I604" t="s">
        <v>123</v>
      </c>
      <c r="J604" t="s">
        <v>124</v>
      </c>
      <c r="K604" t="s">
        <v>116</v>
      </c>
      <c r="N604" t="s">
        <v>516</v>
      </c>
      <c r="AE604">
        <f t="shared" si="0"/>
        <v>0</v>
      </c>
      <c r="AF604">
        <f t="shared" si="1"/>
        <v>0</v>
      </c>
      <c r="AG604">
        <f t="shared" si="2"/>
        <v>0</v>
      </c>
      <c r="AR604">
        <f t="shared" si="3"/>
        <v>0</v>
      </c>
      <c r="AS604">
        <f t="shared" si="4"/>
        <v>0</v>
      </c>
      <c r="AT604">
        <f t="shared" si="5"/>
        <v>0</v>
      </c>
      <c r="AU604">
        <v>1</v>
      </c>
      <c r="AV604">
        <v>2</v>
      </c>
      <c r="AW604">
        <v>1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</v>
      </c>
      <c r="BT604">
        <v>2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f t="shared" si="6"/>
        <v>6</v>
      </c>
      <c r="CJ604">
        <f t="shared" si="7"/>
        <v>6</v>
      </c>
      <c r="CK604">
        <f t="shared" si="8"/>
        <v>12</v>
      </c>
      <c r="CL604" s="21">
        <f t="shared" si="9"/>
        <v>6</v>
      </c>
      <c r="CM604" s="21">
        <f t="shared" si="10"/>
        <v>6</v>
      </c>
      <c r="CN604" s="21">
        <f t="shared" si="11"/>
        <v>12</v>
      </c>
    </row>
    <row r="605" spans="1:92" x14ac:dyDescent="0.3">
      <c r="A605" s="25" t="s">
        <v>486</v>
      </c>
      <c r="B605" t="s">
        <v>108</v>
      </c>
      <c r="C605" t="s">
        <v>181</v>
      </c>
      <c r="D605">
        <v>406474</v>
      </c>
      <c r="E605" t="s">
        <v>194</v>
      </c>
      <c r="F605" t="s">
        <v>195</v>
      </c>
      <c r="G605" t="s">
        <v>112</v>
      </c>
      <c r="H605" t="s">
        <v>186</v>
      </c>
      <c r="I605" t="s">
        <v>123</v>
      </c>
      <c r="J605" t="s">
        <v>124</v>
      </c>
      <c r="K605" t="s">
        <v>116</v>
      </c>
      <c r="N605" t="s">
        <v>516</v>
      </c>
      <c r="AE605">
        <f t="shared" si="0"/>
        <v>0</v>
      </c>
      <c r="AF605">
        <f t="shared" si="1"/>
        <v>0</v>
      </c>
      <c r="AG605">
        <f t="shared" si="2"/>
        <v>0</v>
      </c>
      <c r="AR605">
        <f t="shared" si="3"/>
        <v>0</v>
      </c>
      <c r="AS605">
        <f t="shared" si="4"/>
        <v>0</v>
      </c>
      <c r="AT605">
        <f t="shared" si="5"/>
        <v>0</v>
      </c>
      <c r="AU605">
        <v>1</v>
      </c>
      <c r="AV605">
        <v>1</v>
      </c>
      <c r="AW605">
        <v>1</v>
      </c>
      <c r="AX605">
        <v>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5</v>
      </c>
      <c r="BR605">
        <v>2</v>
      </c>
      <c r="BS605">
        <v>0</v>
      </c>
      <c r="BT605">
        <v>3</v>
      </c>
      <c r="BU605">
        <v>3</v>
      </c>
      <c r="BV605">
        <v>1</v>
      </c>
      <c r="BW605">
        <v>0</v>
      </c>
      <c r="BX605">
        <v>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f t="shared" si="6"/>
        <v>10</v>
      </c>
      <c r="CJ605">
        <f t="shared" si="7"/>
        <v>10</v>
      </c>
      <c r="CK605">
        <f t="shared" si="8"/>
        <v>20</v>
      </c>
      <c r="CL605" s="21">
        <f t="shared" si="9"/>
        <v>10</v>
      </c>
      <c r="CM605" s="21">
        <f t="shared" si="10"/>
        <v>10</v>
      </c>
      <c r="CN605" s="21">
        <f t="shared" si="11"/>
        <v>20</v>
      </c>
    </row>
    <row r="606" spans="1:92" x14ac:dyDescent="0.3">
      <c r="A606" s="25" t="s">
        <v>486</v>
      </c>
      <c r="B606" t="s">
        <v>108</v>
      </c>
      <c r="C606" t="s">
        <v>181</v>
      </c>
      <c r="D606">
        <v>406476</v>
      </c>
      <c r="E606" t="s">
        <v>474</v>
      </c>
      <c r="F606" t="s">
        <v>475</v>
      </c>
      <c r="G606" t="s">
        <v>112</v>
      </c>
      <c r="H606" t="s">
        <v>217</v>
      </c>
      <c r="I606" t="s">
        <v>123</v>
      </c>
      <c r="J606" t="s">
        <v>130</v>
      </c>
      <c r="K606" t="s">
        <v>116</v>
      </c>
      <c r="N606" t="s">
        <v>516</v>
      </c>
      <c r="AE606">
        <f t="shared" si="0"/>
        <v>0</v>
      </c>
      <c r="AF606">
        <f t="shared" si="1"/>
        <v>0</v>
      </c>
      <c r="AG606">
        <f t="shared" si="2"/>
        <v>0</v>
      </c>
      <c r="AR606">
        <f t="shared" si="3"/>
        <v>0</v>
      </c>
      <c r="AS606">
        <f t="shared" si="4"/>
        <v>0</v>
      </c>
      <c r="AT606">
        <f t="shared" si="5"/>
        <v>0</v>
      </c>
      <c r="CI606">
        <f t="shared" si="6"/>
        <v>0</v>
      </c>
      <c r="CJ606">
        <f t="shared" si="7"/>
        <v>0</v>
      </c>
      <c r="CK606">
        <f t="shared" si="8"/>
        <v>0</v>
      </c>
      <c r="CL606" s="21">
        <f t="shared" si="9"/>
        <v>0</v>
      </c>
      <c r="CM606" s="21">
        <f t="shared" si="10"/>
        <v>0</v>
      </c>
      <c r="CN606" s="21">
        <f t="shared" si="11"/>
        <v>0</v>
      </c>
    </row>
    <row r="607" spans="1:92" x14ac:dyDescent="0.3">
      <c r="A607" s="25" t="s">
        <v>486</v>
      </c>
      <c r="B607" t="s">
        <v>108</v>
      </c>
      <c r="C607" t="s">
        <v>181</v>
      </c>
      <c r="D607">
        <v>406485</v>
      </c>
      <c r="E607" t="s">
        <v>414</v>
      </c>
      <c r="F607" t="s">
        <v>415</v>
      </c>
      <c r="G607" t="s">
        <v>112</v>
      </c>
      <c r="H607" t="s">
        <v>122</v>
      </c>
      <c r="I607" t="s">
        <v>123</v>
      </c>
      <c r="J607" t="s">
        <v>124</v>
      </c>
      <c r="K607" t="s">
        <v>116</v>
      </c>
      <c r="N607" t="s">
        <v>516</v>
      </c>
      <c r="AE607">
        <f t="shared" si="0"/>
        <v>0</v>
      </c>
      <c r="AF607">
        <f t="shared" si="1"/>
        <v>0</v>
      </c>
      <c r="AG607">
        <f t="shared" si="2"/>
        <v>0</v>
      </c>
      <c r="AR607">
        <f t="shared" si="3"/>
        <v>0</v>
      </c>
      <c r="AS607">
        <f t="shared" si="4"/>
        <v>0</v>
      </c>
      <c r="AT607">
        <f t="shared" si="5"/>
        <v>0</v>
      </c>
      <c r="AU607">
        <v>0</v>
      </c>
      <c r="AV607">
        <v>0</v>
      </c>
      <c r="AW607">
        <v>0</v>
      </c>
      <c r="AX607">
        <v>3</v>
      </c>
      <c r="AY607">
        <v>1</v>
      </c>
      <c r="AZ607">
        <v>2</v>
      </c>
      <c r="BA607">
        <v>0</v>
      </c>
      <c r="BB607">
        <v>0</v>
      </c>
      <c r="BC607">
        <v>0</v>
      </c>
      <c r="BD607">
        <v>0</v>
      </c>
      <c r="BE607">
        <v>2</v>
      </c>
      <c r="BF607">
        <v>3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1</v>
      </c>
      <c r="BS607">
        <v>1</v>
      </c>
      <c r="BT607">
        <v>0</v>
      </c>
      <c r="BU607">
        <v>3</v>
      </c>
      <c r="BV607">
        <v>2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f t="shared" si="6"/>
        <v>8</v>
      </c>
      <c r="CJ607">
        <f t="shared" si="7"/>
        <v>12</v>
      </c>
      <c r="CK607">
        <f t="shared" si="8"/>
        <v>20</v>
      </c>
      <c r="CL607" s="21">
        <f t="shared" si="9"/>
        <v>8</v>
      </c>
      <c r="CM607" s="21">
        <f t="shared" si="10"/>
        <v>12</v>
      </c>
      <c r="CN607" s="21">
        <f t="shared" si="11"/>
        <v>20</v>
      </c>
    </row>
    <row r="608" spans="1:92" x14ac:dyDescent="0.3">
      <c r="A608" s="25" t="s">
        <v>486</v>
      </c>
      <c r="B608" t="s">
        <v>108</v>
      </c>
      <c r="C608" t="s">
        <v>181</v>
      </c>
      <c r="D608">
        <v>406486</v>
      </c>
      <c r="E608" t="s">
        <v>444</v>
      </c>
      <c r="F608" t="s">
        <v>445</v>
      </c>
      <c r="G608" t="s">
        <v>112</v>
      </c>
      <c r="H608" t="s">
        <v>122</v>
      </c>
      <c r="I608" t="s">
        <v>123</v>
      </c>
      <c r="J608" t="s">
        <v>124</v>
      </c>
      <c r="K608" t="s">
        <v>116</v>
      </c>
      <c r="N608" t="s">
        <v>516</v>
      </c>
      <c r="AE608">
        <f t="shared" si="0"/>
        <v>0</v>
      </c>
      <c r="AF608">
        <f t="shared" si="1"/>
        <v>0</v>
      </c>
      <c r="AG608">
        <f t="shared" si="2"/>
        <v>0</v>
      </c>
      <c r="AR608">
        <f t="shared" si="3"/>
        <v>0</v>
      </c>
      <c r="AS608">
        <f t="shared" si="4"/>
        <v>0</v>
      </c>
      <c r="AT608">
        <f t="shared" si="5"/>
        <v>0</v>
      </c>
      <c r="AU608">
        <v>1</v>
      </c>
      <c r="AV608">
        <v>1</v>
      </c>
      <c r="AW608">
        <v>2</v>
      </c>
      <c r="AX608">
        <v>2</v>
      </c>
      <c r="AY608">
        <v>3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2</v>
      </c>
      <c r="BS608">
        <v>2</v>
      </c>
      <c r="BT608">
        <v>2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f t="shared" si="6"/>
        <v>8</v>
      </c>
      <c r="CJ608">
        <f t="shared" si="7"/>
        <v>9</v>
      </c>
      <c r="CK608">
        <f t="shared" si="8"/>
        <v>17</v>
      </c>
      <c r="CL608" s="21">
        <f t="shared" si="9"/>
        <v>8</v>
      </c>
      <c r="CM608" s="21">
        <f t="shared" si="10"/>
        <v>9</v>
      </c>
      <c r="CN608" s="21">
        <f t="shared" si="11"/>
        <v>17</v>
      </c>
    </row>
    <row r="609" spans="1:92" x14ac:dyDescent="0.3">
      <c r="A609" s="25" t="s">
        <v>486</v>
      </c>
      <c r="B609" t="s">
        <v>108</v>
      </c>
      <c r="C609" t="s">
        <v>181</v>
      </c>
      <c r="D609">
        <v>406488</v>
      </c>
      <c r="E609" t="s">
        <v>446</v>
      </c>
      <c r="F609" t="s">
        <v>447</v>
      </c>
      <c r="G609" t="s">
        <v>112</v>
      </c>
      <c r="H609" t="s">
        <v>186</v>
      </c>
      <c r="I609" t="s">
        <v>123</v>
      </c>
      <c r="J609" t="s">
        <v>130</v>
      </c>
      <c r="K609" t="s">
        <v>116</v>
      </c>
      <c r="N609" t="s">
        <v>516</v>
      </c>
      <c r="AE609">
        <f t="shared" si="0"/>
        <v>0</v>
      </c>
      <c r="AF609">
        <f t="shared" si="1"/>
        <v>0</v>
      </c>
      <c r="AG609">
        <f t="shared" si="2"/>
        <v>0</v>
      </c>
      <c r="AR609">
        <f t="shared" si="3"/>
        <v>0</v>
      </c>
      <c r="AS609">
        <f t="shared" si="4"/>
        <v>0</v>
      </c>
      <c r="AT609">
        <f t="shared" si="5"/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0</v>
      </c>
      <c r="BU609">
        <v>0</v>
      </c>
      <c r="BV609">
        <v>0</v>
      </c>
      <c r="BW609">
        <v>0</v>
      </c>
      <c r="BX609">
        <v>1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f t="shared" si="6"/>
        <v>1</v>
      </c>
      <c r="CJ609">
        <f t="shared" si="7"/>
        <v>2</v>
      </c>
      <c r="CK609">
        <f t="shared" si="8"/>
        <v>3</v>
      </c>
      <c r="CL609" s="21">
        <f t="shared" si="9"/>
        <v>1</v>
      </c>
      <c r="CM609" s="21">
        <f t="shared" si="10"/>
        <v>2</v>
      </c>
      <c r="CN609" s="21">
        <f t="shared" si="11"/>
        <v>3</v>
      </c>
    </row>
    <row r="610" spans="1:92" x14ac:dyDescent="0.3">
      <c r="A610" s="25" t="s">
        <v>486</v>
      </c>
      <c r="B610" t="s">
        <v>108</v>
      </c>
      <c r="C610" t="s">
        <v>181</v>
      </c>
      <c r="D610">
        <v>406510</v>
      </c>
      <c r="E610" t="s">
        <v>204</v>
      </c>
      <c r="F610" t="s">
        <v>205</v>
      </c>
      <c r="G610" t="s">
        <v>112</v>
      </c>
      <c r="H610" t="s">
        <v>136</v>
      </c>
      <c r="I610" t="s">
        <v>123</v>
      </c>
      <c r="J610" t="s">
        <v>124</v>
      </c>
      <c r="K610" t="s">
        <v>116</v>
      </c>
      <c r="N610" t="s">
        <v>515</v>
      </c>
      <c r="AE610">
        <f t="shared" si="0"/>
        <v>0</v>
      </c>
      <c r="AF610">
        <f t="shared" si="1"/>
        <v>0</v>
      </c>
      <c r="AG610">
        <f t="shared" si="2"/>
        <v>0</v>
      </c>
      <c r="AR610">
        <f t="shared" si="3"/>
        <v>0</v>
      </c>
      <c r="AS610">
        <f t="shared" si="4"/>
        <v>0</v>
      </c>
      <c r="AT610">
        <f t="shared" si="5"/>
        <v>0</v>
      </c>
      <c r="CI610">
        <f t="shared" si="6"/>
        <v>0</v>
      </c>
      <c r="CJ610">
        <f t="shared" si="7"/>
        <v>0</v>
      </c>
      <c r="CK610">
        <f t="shared" si="8"/>
        <v>0</v>
      </c>
      <c r="CL610" s="21">
        <f t="shared" si="9"/>
        <v>0</v>
      </c>
      <c r="CM610" s="21">
        <f t="shared" si="10"/>
        <v>0</v>
      </c>
      <c r="CN610" s="21">
        <f t="shared" si="11"/>
        <v>0</v>
      </c>
    </row>
    <row r="611" spans="1:92" x14ac:dyDescent="0.3">
      <c r="A611" s="25" t="s">
        <v>486</v>
      </c>
      <c r="B611" t="s">
        <v>108</v>
      </c>
      <c r="C611" t="s">
        <v>181</v>
      </c>
      <c r="D611">
        <v>407808</v>
      </c>
      <c r="E611" t="s">
        <v>206</v>
      </c>
      <c r="F611" t="s">
        <v>207</v>
      </c>
      <c r="G611" t="s">
        <v>112</v>
      </c>
      <c r="H611" t="s">
        <v>186</v>
      </c>
      <c r="I611" t="s">
        <v>123</v>
      </c>
      <c r="J611" t="s">
        <v>124</v>
      </c>
      <c r="K611" t="s">
        <v>116</v>
      </c>
      <c r="N611" t="s">
        <v>126</v>
      </c>
      <c r="AE611">
        <f t="shared" si="0"/>
        <v>0</v>
      </c>
      <c r="AF611">
        <f t="shared" si="1"/>
        <v>0</v>
      </c>
      <c r="AG611">
        <f t="shared" si="2"/>
        <v>0</v>
      </c>
      <c r="AR611">
        <f t="shared" si="3"/>
        <v>0</v>
      </c>
      <c r="AS611">
        <f t="shared" si="4"/>
        <v>0</v>
      </c>
      <c r="AT611">
        <f t="shared" si="5"/>
        <v>0</v>
      </c>
      <c r="AU611">
        <v>0</v>
      </c>
      <c r="AV611">
        <v>1</v>
      </c>
      <c r="AW611">
        <v>0</v>
      </c>
      <c r="AX611">
        <v>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2</v>
      </c>
      <c r="BF611">
        <v>6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3</v>
      </c>
      <c r="BS611">
        <v>1</v>
      </c>
      <c r="BT611">
        <v>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2</v>
      </c>
      <c r="CB611">
        <v>9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f t="shared" si="6"/>
        <v>5</v>
      </c>
      <c r="CJ611">
        <f t="shared" si="7"/>
        <v>26</v>
      </c>
      <c r="CK611">
        <f t="shared" si="8"/>
        <v>31</v>
      </c>
      <c r="CL611" s="21">
        <f t="shared" si="9"/>
        <v>5</v>
      </c>
      <c r="CM611" s="21">
        <f t="shared" si="10"/>
        <v>26</v>
      </c>
      <c r="CN611" s="21">
        <f t="shared" si="11"/>
        <v>31</v>
      </c>
    </row>
    <row r="612" spans="1:92" x14ac:dyDescent="0.3">
      <c r="A612" s="25" t="s">
        <v>486</v>
      </c>
      <c r="B612" t="s">
        <v>108</v>
      </c>
      <c r="C612" t="s">
        <v>181</v>
      </c>
      <c r="D612">
        <v>410119</v>
      </c>
      <c r="E612" t="s">
        <v>208</v>
      </c>
      <c r="F612" t="s">
        <v>496</v>
      </c>
      <c r="G612" t="s">
        <v>112</v>
      </c>
      <c r="H612" t="s">
        <v>136</v>
      </c>
      <c r="I612" t="s">
        <v>123</v>
      </c>
      <c r="J612" t="s">
        <v>124</v>
      </c>
      <c r="K612" t="s">
        <v>116</v>
      </c>
      <c r="N612" t="s">
        <v>163</v>
      </c>
      <c r="AE612">
        <f t="shared" si="0"/>
        <v>0</v>
      </c>
      <c r="AF612">
        <f t="shared" si="1"/>
        <v>0</v>
      </c>
      <c r="AG612">
        <f t="shared" si="2"/>
        <v>0</v>
      </c>
      <c r="AR612">
        <f t="shared" si="3"/>
        <v>0</v>
      </c>
      <c r="AS612">
        <f t="shared" si="4"/>
        <v>0</v>
      </c>
      <c r="AT612">
        <f t="shared" si="5"/>
        <v>0</v>
      </c>
      <c r="CI612">
        <f t="shared" si="6"/>
        <v>0</v>
      </c>
      <c r="CJ612">
        <f t="shared" si="7"/>
        <v>0</v>
      </c>
      <c r="CK612">
        <f t="shared" si="8"/>
        <v>0</v>
      </c>
      <c r="CL612" s="21">
        <f t="shared" si="9"/>
        <v>0</v>
      </c>
      <c r="CM612" s="21">
        <f t="shared" si="10"/>
        <v>0</v>
      </c>
      <c r="CN612" s="21">
        <f t="shared" si="11"/>
        <v>0</v>
      </c>
    </row>
    <row r="613" spans="1:92" x14ac:dyDescent="0.3">
      <c r="A613" s="25" t="s">
        <v>486</v>
      </c>
      <c r="B613" t="s">
        <v>108</v>
      </c>
      <c r="C613" t="s">
        <v>181</v>
      </c>
      <c r="D613">
        <v>482504</v>
      </c>
      <c r="E613" t="s">
        <v>210</v>
      </c>
      <c r="F613" t="s">
        <v>211</v>
      </c>
      <c r="G613" t="s">
        <v>112</v>
      </c>
      <c r="H613" t="s">
        <v>122</v>
      </c>
      <c r="I613" t="s">
        <v>123</v>
      </c>
      <c r="J613" t="s">
        <v>124</v>
      </c>
      <c r="K613" t="s">
        <v>116</v>
      </c>
      <c r="N613" t="s">
        <v>516</v>
      </c>
      <c r="AE613">
        <f t="shared" si="0"/>
        <v>0</v>
      </c>
      <c r="AF613">
        <f t="shared" si="1"/>
        <v>0</v>
      </c>
      <c r="AG613">
        <f t="shared" si="2"/>
        <v>0</v>
      </c>
      <c r="AR613">
        <f t="shared" si="3"/>
        <v>0</v>
      </c>
      <c r="AS613">
        <f t="shared" si="4"/>
        <v>0</v>
      </c>
      <c r="AT613">
        <f t="shared" si="5"/>
        <v>0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f t="shared" si="6"/>
        <v>2</v>
      </c>
      <c r="CJ613">
        <f t="shared" si="7"/>
        <v>1</v>
      </c>
      <c r="CK613">
        <f t="shared" si="8"/>
        <v>3</v>
      </c>
      <c r="CL613" s="21">
        <f t="shared" si="9"/>
        <v>2</v>
      </c>
      <c r="CM613" s="21">
        <f t="shared" si="10"/>
        <v>1</v>
      </c>
      <c r="CN613" s="21">
        <f t="shared" si="11"/>
        <v>3</v>
      </c>
    </row>
    <row r="614" spans="1:92" x14ac:dyDescent="0.3">
      <c r="A614" s="25" t="s">
        <v>486</v>
      </c>
      <c r="B614" t="s">
        <v>108</v>
      </c>
      <c r="C614" t="s">
        <v>181</v>
      </c>
      <c r="D614">
        <v>482521</v>
      </c>
      <c r="E614" t="s">
        <v>497</v>
      </c>
      <c r="F614" t="s">
        <v>498</v>
      </c>
      <c r="G614" t="s">
        <v>112</v>
      </c>
      <c r="H614" t="s">
        <v>191</v>
      </c>
      <c r="I614" t="s">
        <v>123</v>
      </c>
      <c r="J614" t="s">
        <v>124</v>
      </c>
      <c r="K614" t="s">
        <v>116</v>
      </c>
      <c r="N614" t="s">
        <v>163</v>
      </c>
      <c r="AE614">
        <f t="shared" si="0"/>
        <v>0</v>
      </c>
      <c r="AF614">
        <f t="shared" si="1"/>
        <v>0</v>
      </c>
      <c r="AG614">
        <f t="shared" si="2"/>
        <v>0</v>
      </c>
      <c r="AR614">
        <f t="shared" si="3"/>
        <v>0</v>
      </c>
      <c r="AS614">
        <f t="shared" si="4"/>
        <v>0</v>
      </c>
      <c r="AT614">
        <f t="shared" si="5"/>
        <v>0</v>
      </c>
      <c r="CI614">
        <f t="shared" si="6"/>
        <v>0</v>
      </c>
      <c r="CJ614">
        <f t="shared" si="7"/>
        <v>0</v>
      </c>
      <c r="CK614">
        <f t="shared" si="8"/>
        <v>0</v>
      </c>
      <c r="CL614" s="21">
        <f t="shared" si="9"/>
        <v>0</v>
      </c>
      <c r="CM614" s="21">
        <f t="shared" si="10"/>
        <v>0</v>
      </c>
      <c r="CN614" s="21">
        <f t="shared" si="11"/>
        <v>0</v>
      </c>
    </row>
    <row r="615" spans="1:92" x14ac:dyDescent="0.3">
      <c r="A615" s="25" t="s">
        <v>486</v>
      </c>
      <c r="B615" t="s">
        <v>108</v>
      </c>
      <c r="C615" t="s">
        <v>181</v>
      </c>
      <c r="D615">
        <v>482542</v>
      </c>
      <c r="E615" t="s">
        <v>448</v>
      </c>
      <c r="F615" t="s">
        <v>449</v>
      </c>
      <c r="G615" t="s">
        <v>112</v>
      </c>
      <c r="H615" t="s">
        <v>122</v>
      </c>
      <c r="I615" t="s">
        <v>123</v>
      </c>
      <c r="J615" t="s">
        <v>124</v>
      </c>
      <c r="K615" t="s">
        <v>116</v>
      </c>
      <c r="N615" t="s">
        <v>163</v>
      </c>
      <c r="AE615">
        <f t="shared" si="0"/>
        <v>0</v>
      </c>
      <c r="AF615">
        <f t="shared" si="1"/>
        <v>0</v>
      </c>
      <c r="AG615">
        <f t="shared" si="2"/>
        <v>0</v>
      </c>
      <c r="AR615">
        <f t="shared" si="3"/>
        <v>0</v>
      </c>
      <c r="AS615">
        <f t="shared" si="4"/>
        <v>0</v>
      </c>
      <c r="AT615">
        <f t="shared" si="5"/>
        <v>0</v>
      </c>
      <c r="CI615">
        <f t="shared" si="6"/>
        <v>0</v>
      </c>
      <c r="CJ615">
        <f t="shared" si="7"/>
        <v>0</v>
      </c>
      <c r="CK615">
        <f t="shared" si="8"/>
        <v>0</v>
      </c>
      <c r="CL615" s="21">
        <f t="shared" si="9"/>
        <v>0</v>
      </c>
      <c r="CM615" s="21">
        <f t="shared" si="10"/>
        <v>0</v>
      </c>
      <c r="CN615" s="21">
        <f t="shared" si="11"/>
        <v>0</v>
      </c>
    </row>
    <row r="616" spans="1:92" x14ac:dyDescent="0.3">
      <c r="A616" s="25" t="s">
        <v>486</v>
      </c>
      <c r="B616" t="s">
        <v>108</v>
      </c>
      <c r="C616" t="s">
        <v>181</v>
      </c>
      <c r="D616">
        <v>482600</v>
      </c>
      <c r="E616" t="s">
        <v>218</v>
      </c>
      <c r="F616" t="s">
        <v>219</v>
      </c>
      <c r="G616" t="s">
        <v>112</v>
      </c>
      <c r="H616" t="s">
        <v>186</v>
      </c>
      <c r="I616" t="s">
        <v>123</v>
      </c>
      <c r="J616" t="s">
        <v>124</v>
      </c>
      <c r="K616" t="s">
        <v>116</v>
      </c>
      <c r="N616" t="s">
        <v>515</v>
      </c>
      <c r="AE616">
        <f t="shared" si="0"/>
        <v>0</v>
      </c>
      <c r="AF616">
        <f t="shared" si="1"/>
        <v>0</v>
      </c>
      <c r="AG616">
        <f t="shared" si="2"/>
        <v>0</v>
      </c>
      <c r="AR616">
        <f t="shared" si="3"/>
        <v>0</v>
      </c>
      <c r="AS616">
        <f t="shared" si="4"/>
        <v>0</v>
      </c>
      <c r="AT616">
        <f t="shared" si="5"/>
        <v>0</v>
      </c>
      <c r="CI616">
        <f t="shared" si="6"/>
        <v>0</v>
      </c>
      <c r="CJ616">
        <f t="shared" si="7"/>
        <v>0</v>
      </c>
      <c r="CK616">
        <f t="shared" si="8"/>
        <v>0</v>
      </c>
      <c r="CL616" s="21">
        <f t="shared" si="9"/>
        <v>0</v>
      </c>
      <c r="CM616" s="21">
        <f t="shared" si="10"/>
        <v>0</v>
      </c>
      <c r="CN616" s="21">
        <f t="shared" si="11"/>
        <v>0</v>
      </c>
    </row>
    <row r="617" spans="1:92" x14ac:dyDescent="0.3">
      <c r="A617" s="25" t="s">
        <v>486</v>
      </c>
      <c r="B617" t="s">
        <v>108</v>
      </c>
      <c r="C617" t="s">
        <v>181</v>
      </c>
      <c r="D617">
        <v>482612</v>
      </c>
      <c r="E617" t="s">
        <v>476</v>
      </c>
      <c r="F617" t="s">
        <v>223</v>
      </c>
      <c r="G617" t="s">
        <v>112</v>
      </c>
      <c r="H617" t="s">
        <v>122</v>
      </c>
      <c r="I617" t="s">
        <v>123</v>
      </c>
      <c r="J617" t="s">
        <v>124</v>
      </c>
      <c r="K617" t="s">
        <v>116</v>
      </c>
      <c r="N617" t="s">
        <v>163</v>
      </c>
      <c r="AE617">
        <f t="shared" si="0"/>
        <v>0</v>
      </c>
      <c r="AF617">
        <f t="shared" si="1"/>
        <v>0</v>
      </c>
      <c r="AG617">
        <f t="shared" si="2"/>
        <v>0</v>
      </c>
      <c r="AR617">
        <f t="shared" si="3"/>
        <v>0</v>
      </c>
      <c r="AS617">
        <f t="shared" si="4"/>
        <v>0</v>
      </c>
      <c r="AT617">
        <f t="shared" si="5"/>
        <v>0</v>
      </c>
      <c r="CI617">
        <f t="shared" si="6"/>
        <v>0</v>
      </c>
      <c r="CJ617">
        <f t="shared" si="7"/>
        <v>0</v>
      </c>
      <c r="CK617">
        <f t="shared" si="8"/>
        <v>0</v>
      </c>
      <c r="CL617" s="21">
        <f t="shared" si="9"/>
        <v>0</v>
      </c>
      <c r="CM617" s="21">
        <f t="shared" si="10"/>
        <v>0</v>
      </c>
      <c r="CN617" s="21">
        <f t="shared" si="11"/>
        <v>0</v>
      </c>
    </row>
    <row r="618" spans="1:92" x14ac:dyDescent="0.3">
      <c r="A618" s="25" t="s">
        <v>486</v>
      </c>
      <c r="B618" t="s">
        <v>108</v>
      </c>
      <c r="C618" t="s">
        <v>181</v>
      </c>
      <c r="D618">
        <v>482617</v>
      </c>
      <c r="E618" t="s">
        <v>224</v>
      </c>
      <c r="F618" t="s">
        <v>225</v>
      </c>
      <c r="G618" t="s">
        <v>112</v>
      </c>
      <c r="H618" t="s">
        <v>191</v>
      </c>
      <c r="I618" t="s">
        <v>123</v>
      </c>
      <c r="J618" t="s">
        <v>124</v>
      </c>
      <c r="K618" t="s">
        <v>116</v>
      </c>
      <c r="N618" t="s">
        <v>515</v>
      </c>
      <c r="AE618">
        <f t="shared" si="0"/>
        <v>0</v>
      </c>
      <c r="AF618">
        <f t="shared" si="1"/>
        <v>0</v>
      </c>
      <c r="AG618">
        <f t="shared" si="2"/>
        <v>0</v>
      </c>
      <c r="AR618">
        <f t="shared" si="3"/>
        <v>0</v>
      </c>
      <c r="AS618">
        <f t="shared" si="4"/>
        <v>0</v>
      </c>
      <c r="AT618">
        <f t="shared" si="5"/>
        <v>0</v>
      </c>
      <c r="CI618">
        <f t="shared" si="6"/>
        <v>0</v>
      </c>
      <c r="CJ618">
        <f t="shared" si="7"/>
        <v>0</v>
      </c>
      <c r="CK618">
        <f t="shared" si="8"/>
        <v>0</v>
      </c>
      <c r="CL618" s="21">
        <f t="shared" si="9"/>
        <v>0</v>
      </c>
      <c r="CM618" s="21">
        <f t="shared" si="10"/>
        <v>0</v>
      </c>
      <c r="CN618" s="21">
        <f t="shared" si="11"/>
        <v>0</v>
      </c>
    </row>
    <row r="619" spans="1:92" x14ac:dyDescent="0.3">
      <c r="A619" s="25" t="s">
        <v>486</v>
      </c>
      <c r="B619" t="s">
        <v>108</v>
      </c>
      <c r="C619" t="s">
        <v>181</v>
      </c>
      <c r="D619">
        <v>482619</v>
      </c>
      <c r="E619" t="s">
        <v>226</v>
      </c>
      <c r="F619" t="s">
        <v>227</v>
      </c>
      <c r="G619" t="s">
        <v>112</v>
      </c>
      <c r="H619" t="s">
        <v>191</v>
      </c>
      <c r="I619" t="s">
        <v>123</v>
      </c>
      <c r="J619" t="s">
        <v>124</v>
      </c>
      <c r="K619" t="s">
        <v>116</v>
      </c>
      <c r="N619" t="s">
        <v>515</v>
      </c>
      <c r="AE619">
        <f t="shared" si="0"/>
        <v>0</v>
      </c>
      <c r="AF619">
        <f t="shared" si="1"/>
        <v>0</v>
      </c>
      <c r="AG619">
        <f t="shared" si="2"/>
        <v>0</v>
      </c>
      <c r="AR619">
        <f t="shared" si="3"/>
        <v>0</v>
      </c>
      <c r="AS619">
        <f t="shared" si="4"/>
        <v>0</v>
      </c>
      <c r="AT619">
        <f t="shared" si="5"/>
        <v>0</v>
      </c>
      <c r="CI619">
        <f t="shared" si="6"/>
        <v>0</v>
      </c>
      <c r="CJ619">
        <f t="shared" si="7"/>
        <v>0</v>
      </c>
      <c r="CK619">
        <f t="shared" si="8"/>
        <v>0</v>
      </c>
      <c r="CL619" s="21">
        <f t="shared" si="9"/>
        <v>0</v>
      </c>
      <c r="CM619" s="21">
        <f t="shared" si="10"/>
        <v>0</v>
      </c>
      <c r="CN619" s="21">
        <f t="shared" si="11"/>
        <v>0</v>
      </c>
    </row>
    <row r="620" spans="1:92" x14ac:dyDescent="0.3">
      <c r="A620" s="25" t="s">
        <v>486</v>
      </c>
      <c r="B620" t="s">
        <v>108</v>
      </c>
      <c r="C620" t="s">
        <v>181</v>
      </c>
      <c r="D620">
        <v>482719</v>
      </c>
      <c r="E620" t="s">
        <v>230</v>
      </c>
      <c r="F620" t="s">
        <v>231</v>
      </c>
      <c r="G620" t="s">
        <v>112</v>
      </c>
      <c r="H620" t="s">
        <v>129</v>
      </c>
      <c r="I620" t="s">
        <v>123</v>
      </c>
      <c r="J620" t="s">
        <v>124</v>
      </c>
      <c r="K620" t="s">
        <v>116</v>
      </c>
      <c r="N620" t="s">
        <v>163</v>
      </c>
      <c r="AE620">
        <f t="shared" si="0"/>
        <v>0</v>
      </c>
      <c r="AF620">
        <f t="shared" si="1"/>
        <v>0</v>
      </c>
      <c r="AG620">
        <f t="shared" si="2"/>
        <v>0</v>
      </c>
      <c r="AR620">
        <f t="shared" si="3"/>
        <v>0</v>
      </c>
      <c r="AS620">
        <f t="shared" si="4"/>
        <v>0</v>
      </c>
      <c r="AT620">
        <f t="shared" si="5"/>
        <v>0</v>
      </c>
      <c r="CI620">
        <f t="shared" si="6"/>
        <v>0</v>
      </c>
      <c r="CJ620">
        <f t="shared" si="7"/>
        <v>0</v>
      </c>
      <c r="CK620">
        <f t="shared" si="8"/>
        <v>0</v>
      </c>
      <c r="CL620" s="21">
        <f t="shared" si="9"/>
        <v>0</v>
      </c>
      <c r="CM620" s="21">
        <f t="shared" si="10"/>
        <v>0</v>
      </c>
      <c r="CN620" s="21">
        <f t="shared" si="11"/>
        <v>0</v>
      </c>
    </row>
    <row r="621" spans="1:92" x14ac:dyDescent="0.3">
      <c r="A621" s="25" t="s">
        <v>486</v>
      </c>
      <c r="B621" t="s">
        <v>108</v>
      </c>
      <c r="C621" t="s">
        <v>181</v>
      </c>
      <c r="D621">
        <v>482730</v>
      </c>
      <c r="E621" t="s">
        <v>232</v>
      </c>
      <c r="F621" t="s">
        <v>233</v>
      </c>
      <c r="G621" t="s">
        <v>112</v>
      </c>
      <c r="H621" t="s">
        <v>186</v>
      </c>
      <c r="I621" t="s">
        <v>123</v>
      </c>
      <c r="J621" t="s">
        <v>124</v>
      </c>
      <c r="K621" t="s">
        <v>116</v>
      </c>
      <c r="N621" t="s">
        <v>163</v>
      </c>
      <c r="AE621">
        <f t="shared" si="0"/>
        <v>0</v>
      </c>
      <c r="AF621">
        <f t="shared" si="1"/>
        <v>0</v>
      </c>
      <c r="AG621">
        <f t="shared" si="2"/>
        <v>0</v>
      </c>
      <c r="AR621">
        <f t="shared" si="3"/>
        <v>0</v>
      </c>
      <c r="AS621">
        <f t="shared" si="4"/>
        <v>0</v>
      </c>
      <c r="AT621">
        <f t="shared" si="5"/>
        <v>0</v>
      </c>
      <c r="CI621">
        <f t="shared" si="6"/>
        <v>0</v>
      </c>
      <c r="CJ621">
        <f t="shared" si="7"/>
        <v>0</v>
      </c>
      <c r="CK621">
        <f t="shared" si="8"/>
        <v>0</v>
      </c>
      <c r="CL621" s="21">
        <f t="shared" si="9"/>
        <v>0</v>
      </c>
      <c r="CM621" s="21">
        <f t="shared" si="10"/>
        <v>0</v>
      </c>
      <c r="CN621" s="21">
        <f t="shared" si="11"/>
        <v>0</v>
      </c>
    </row>
    <row r="622" spans="1:92" x14ac:dyDescent="0.3">
      <c r="A622" s="25" t="s">
        <v>486</v>
      </c>
      <c r="B622" t="s">
        <v>108</v>
      </c>
      <c r="C622" t="s">
        <v>181</v>
      </c>
      <c r="D622">
        <v>482821</v>
      </c>
      <c r="E622" t="s">
        <v>234</v>
      </c>
      <c r="F622" t="s">
        <v>499</v>
      </c>
      <c r="G622" t="s">
        <v>112</v>
      </c>
      <c r="H622" t="s">
        <v>191</v>
      </c>
      <c r="I622" t="s">
        <v>123</v>
      </c>
      <c r="J622" t="s">
        <v>124</v>
      </c>
      <c r="K622" t="s">
        <v>116</v>
      </c>
      <c r="N622" t="s">
        <v>163</v>
      </c>
      <c r="AE622">
        <f t="shared" si="0"/>
        <v>0</v>
      </c>
      <c r="AF622">
        <f t="shared" si="1"/>
        <v>0</v>
      </c>
      <c r="AG622">
        <f t="shared" si="2"/>
        <v>0</v>
      </c>
      <c r="AR622">
        <f t="shared" si="3"/>
        <v>0</v>
      </c>
      <c r="AS622">
        <f t="shared" si="4"/>
        <v>0</v>
      </c>
      <c r="AT622">
        <f t="shared" si="5"/>
        <v>0</v>
      </c>
      <c r="CI622">
        <f t="shared" si="6"/>
        <v>0</v>
      </c>
      <c r="CJ622">
        <f t="shared" si="7"/>
        <v>0</v>
      </c>
      <c r="CK622">
        <f t="shared" si="8"/>
        <v>0</v>
      </c>
      <c r="CL622" s="21">
        <f t="shared" si="9"/>
        <v>0</v>
      </c>
      <c r="CM622" s="21">
        <f t="shared" si="10"/>
        <v>0</v>
      </c>
      <c r="CN622" s="21">
        <f t="shared" si="11"/>
        <v>0</v>
      </c>
    </row>
    <row r="623" spans="1:92" x14ac:dyDescent="0.3">
      <c r="A623" s="25" t="s">
        <v>486</v>
      </c>
      <c r="B623" t="s">
        <v>108</v>
      </c>
      <c r="C623" t="s">
        <v>238</v>
      </c>
      <c r="D623">
        <v>406495</v>
      </c>
      <c r="E623" t="s">
        <v>239</v>
      </c>
      <c r="F623" t="s">
        <v>500</v>
      </c>
      <c r="G623" t="s">
        <v>112</v>
      </c>
      <c r="H623" t="s">
        <v>136</v>
      </c>
      <c r="I623" t="s">
        <v>123</v>
      </c>
      <c r="J623" t="s">
        <v>124</v>
      </c>
      <c r="K623" t="s">
        <v>116</v>
      </c>
      <c r="N623" t="s">
        <v>163</v>
      </c>
      <c r="AE623">
        <f t="shared" si="0"/>
        <v>0</v>
      </c>
      <c r="AF623">
        <f t="shared" si="1"/>
        <v>0</v>
      </c>
      <c r="AG623">
        <f t="shared" si="2"/>
        <v>0</v>
      </c>
      <c r="AR623">
        <f t="shared" si="3"/>
        <v>0</v>
      </c>
      <c r="AS623">
        <f t="shared" si="4"/>
        <v>0</v>
      </c>
      <c r="AT623">
        <f t="shared" si="5"/>
        <v>0</v>
      </c>
      <c r="CI623">
        <f t="shared" si="6"/>
        <v>0</v>
      </c>
      <c r="CJ623">
        <f t="shared" si="7"/>
        <v>0</v>
      </c>
      <c r="CK623">
        <f t="shared" si="8"/>
        <v>0</v>
      </c>
      <c r="CL623" s="21">
        <f t="shared" si="9"/>
        <v>0</v>
      </c>
      <c r="CM623" s="21">
        <f t="shared" si="10"/>
        <v>0</v>
      </c>
      <c r="CN623" s="21">
        <f t="shared" si="11"/>
        <v>0</v>
      </c>
    </row>
    <row r="624" spans="1:92" x14ac:dyDescent="0.3">
      <c r="A624" s="25" t="s">
        <v>486</v>
      </c>
      <c r="B624" t="s">
        <v>108</v>
      </c>
      <c r="C624" t="s">
        <v>238</v>
      </c>
      <c r="D624">
        <v>406521</v>
      </c>
      <c r="E624" t="s">
        <v>454</v>
      </c>
      <c r="F624" t="s">
        <v>455</v>
      </c>
      <c r="G624" t="s">
        <v>112</v>
      </c>
      <c r="H624" t="s">
        <v>136</v>
      </c>
      <c r="I624" t="s">
        <v>123</v>
      </c>
      <c r="J624" t="s">
        <v>130</v>
      </c>
      <c r="K624" t="s">
        <v>116</v>
      </c>
      <c r="N624" t="s">
        <v>516</v>
      </c>
      <c r="AE624">
        <f t="shared" si="0"/>
        <v>0</v>
      </c>
      <c r="AF624">
        <f t="shared" si="1"/>
        <v>0</v>
      </c>
      <c r="AG624">
        <f t="shared" si="2"/>
        <v>0</v>
      </c>
      <c r="AR624">
        <f t="shared" si="3"/>
        <v>0</v>
      </c>
      <c r="AS624">
        <f t="shared" si="4"/>
        <v>0</v>
      </c>
      <c r="AT624">
        <f t="shared" si="5"/>
        <v>0</v>
      </c>
      <c r="CI624">
        <f t="shared" si="6"/>
        <v>0</v>
      </c>
      <c r="CJ624">
        <f t="shared" si="7"/>
        <v>0</v>
      </c>
      <c r="CK624">
        <f t="shared" si="8"/>
        <v>0</v>
      </c>
      <c r="CL624" s="21">
        <f t="shared" si="9"/>
        <v>0</v>
      </c>
      <c r="CM624" s="21">
        <f t="shared" si="10"/>
        <v>0</v>
      </c>
      <c r="CN624" s="21">
        <f t="shared" si="11"/>
        <v>0</v>
      </c>
    </row>
    <row r="625" spans="1:92" x14ac:dyDescent="0.3">
      <c r="A625" s="25" t="s">
        <v>486</v>
      </c>
      <c r="B625" t="s">
        <v>108</v>
      </c>
      <c r="C625" t="s">
        <v>238</v>
      </c>
      <c r="D625">
        <v>406557</v>
      </c>
      <c r="E625" t="s">
        <v>456</v>
      </c>
      <c r="F625" t="s">
        <v>457</v>
      </c>
      <c r="G625" t="s">
        <v>112</v>
      </c>
      <c r="H625" t="s">
        <v>136</v>
      </c>
      <c r="I625" t="s">
        <v>123</v>
      </c>
      <c r="J625" t="s">
        <v>130</v>
      </c>
      <c r="K625" t="s">
        <v>116</v>
      </c>
      <c r="N625" t="s">
        <v>516</v>
      </c>
      <c r="AE625">
        <f t="shared" si="0"/>
        <v>0</v>
      </c>
      <c r="AF625">
        <f t="shared" si="1"/>
        <v>0</v>
      </c>
      <c r="AG625">
        <f t="shared" si="2"/>
        <v>0</v>
      </c>
      <c r="AR625">
        <f t="shared" si="3"/>
        <v>0</v>
      </c>
      <c r="AS625">
        <f t="shared" si="4"/>
        <v>0</v>
      </c>
      <c r="AT625">
        <f t="shared" si="5"/>
        <v>0</v>
      </c>
      <c r="CI625">
        <f t="shared" si="6"/>
        <v>0</v>
      </c>
      <c r="CJ625">
        <f t="shared" si="7"/>
        <v>0</v>
      </c>
      <c r="CK625">
        <f t="shared" si="8"/>
        <v>0</v>
      </c>
      <c r="CL625" s="21">
        <f t="shared" si="9"/>
        <v>0</v>
      </c>
      <c r="CM625" s="21">
        <f t="shared" si="10"/>
        <v>0</v>
      </c>
      <c r="CN625" s="21">
        <f t="shared" si="11"/>
        <v>0</v>
      </c>
    </row>
    <row r="626" spans="1:92" x14ac:dyDescent="0.3">
      <c r="A626" s="25" t="s">
        <v>486</v>
      </c>
      <c r="B626" t="s">
        <v>108</v>
      </c>
      <c r="C626" t="s">
        <v>238</v>
      </c>
      <c r="D626">
        <v>406570</v>
      </c>
      <c r="E626" t="s">
        <v>248</v>
      </c>
      <c r="F626" t="s">
        <v>249</v>
      </c>
      <c r="G626" t="s">
        <v>112</v>
      </c>
      <c r="H626" t="s">
        <v>136</v>
      </c>
      <c r="I626" t="s">
        <v>123</v>
      </c>
      <c r="J626" t="s">
        <v>124</v>
      </c>
      <c r="K626" t="s">
        <v>116</v>
      </c>
      <c r="N626" t="s">
        <v>516</v>
      </c>
      <c r="AE626">
        <f t="shared" si="0"/>
        <v>0</v>
      </c>
      <c r="AF626">
        <f t="shared" si="1"/>
        <v>0</v>
      </c>
      <c r="AG626">
        <f t="shared" si="2"/>
        <v>0</v>
      </c>
      <c r="AR626">
        <f t="shared" si="3"/>
        <v>0</v>
      </c>
      <c r="AS626">
        <f t="shared" si="4"/>
        <v>0</v>
      </c>
      <c r="AT626">
        <f t="shared" si="5"/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</v>
      </c>
      <c r="BT626">
        <v>1</v>
      </c>
      <c r="BU626">
        <v>1</v>
      </c>
      <c r="BV626">
        <v>2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f t="shared" si="6"/>
        <v>3</v>
      </c>
      <c r="CJ626">
        <f t="shared" si="7"/>
        <v>4</v>
      </c>
      <c r="CK626">
        <f t="shared" si="8"/>
        <v>7</v>
      </c>
      <c r="CL626" s="21">
        <f t="shared" si="9"/>
        <v>3</v>
      </c>
      <c r="CM626" s="21">
        <f t="shared" si="10"/>
        <v>4</v>
      </c>
      <c r="CN626" s="21">
        <f t="shared" si="11"/>
        <v>7</v>
      </c>
    </row>
    <row r="627" spans="1:92" x14ac:dyDescent="0.3">
      <c r="A627" s="25" t="s">
        <v>486</v>
      </c>
      <c r="B627" t="s">
        <v>108</v>
      </c>
      <c r="C627" t="s">
        <v>238</v>
      </c>
      <c r="D627">
        <v>482620</v>
      </c>
      <c r="E627" t="s">
        <v>252</v>
      </c>
      <c r="F627" t="s">
        <v>253</v>
      </c>
      <c r="G627" t="s">
        <v>112</v>
      </c>
      <c r="H627" t="s">
        <v>136</v>
      </c>
      <c r="I627" t="s">
        <v>123</v>
      </c>
      <c r="J627" t="s">
        <v>124</v>
      </c>
      <c r="K627" t="s">
        <v>116</v>
      </c>
      <c r="N627" t="s">
        <v>163</v>
      </c>
      <c r="AE627">
        <f t="shared" si="0"/>
        <v>0</v>
      </c>
      <c r="AF627">
        <f t="shared" si="1"/>
        <v>0</v>
      </c>
      <c r="AG627">
        <f t="shared" si="2"/>
        <v>0</v>
      </c>
      <c r="AR627">
        <f t="shared" si="3"/>
        <v>0</v>
      </c>
      <c r="AS627">
        <f t="shared" si="4"/>
        <v>0</v>
      </c>
      <c r="AT627">
        <f t="shared" si="5"/>
        <v>0</v>
      </c>
      <c r="CI627">
        <f t="shared" si="6"/>
        <v>0</v>
      </c>
      <c r="CJ627">
        <f t="shared" si="7"/>
        <v>0</v>
      </c>
      <c r="CK627">
        <f t="shared" si="8"/>
        <v>0</v>
      </c>
      <c r="CL627" s="21">
        <f t="shared" si="9"/>
        <v>0</v>
      </c>
      <c r="CM627" s="21">
        <f t="shared" si="10"/>
        <v>0</v>
      </c>
      <c r="CN627" s="21">
        <f t="shared" si="11"/>
        <v>0</v>
      </c>
    </row>
    <row r="628" spans="1:92" x14ac:dyDescent="0.3">
      <c r="A628" s="25" t="s">
        <v>486</v>
      </c>
      <c r="B628" t="s">
        <v>108</v>
      </c>
      <c r="C628" t="s">
        <v>256</v>
      </c>
      <c r="D628">
        <v>410229</v>
      </c>
      <c r="E628" t="s">
        <v>259</v>
      </c>
      <c r="F628" t="s">
        <v>477</v>
      </c>
      <c r="G628" t="s">
        <v>112</v>
      </c>
      <c r="H628" t="s">
        <v>261</v>
      </c>
      <c r="I628" t="s">
        <v>123</v>
      </c>
      <c r="J628" t="s">
        <v>124</v>
      </c>
      <c r="K628" t="s">
        <v>116</v>
      </c>
      <c r="N628" t="s">
        <v>126</v>
      </c>
      <c r="AE628">
        <f t="shared" si="0"/>
        <v>0</v>
      </c>
      <c r="AF628">
        <f t="shared" si="1"/>
        <v>0</v>
      </c>
      <c r="AG628">
        <f t="shared" si="2"/>
        <v>0</v>
      </c>
      <c r="AR628">
        <f t="shared" si="3"/>
        <v>0</v>
      </c>
      <c r="AS628">
        <f t="shared" si="4"/>
        <v>0</v>
      </c>
      <c r="AT628">
        <f t="shared" si="5"/>
        <v>0</v>
      </c>
      <c r="AU628">
        <v>4</v>
      </c>
      <c r="AV628">
        <v>7</v>
      </c>
      <c r="AW628">
        <v>8</v>
      </c>
      <c r="AX628">
        <v>25</v>
      </c>
      <c r="AY628">
        <v>3</v>
      </c>
      <c r="AZ628">
        <v>3</v>
      </c>
      <c r="BA628">
        <v>2</v>
      </c>
      <c r="BB628">
        <v>2</v>
      </c>
      <c r="BC628">
        <v>0</v>
      </c>
      <c r="BD628">
        <v>0</v>
      </c>
      <c r="BE628">
        <v>27</v>
      </c>
      <c r="BF628">
        <v>13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8</v>
      </c>
      <c r="BR628">
        <v>10</v>
      </c>
      <c r="BS628">
        <v>9</v>
      </c>
      <c r="BT628">
        <v>18</v>
      </c>
      <c r="BU628">
        <v>4</v>
      </c>
      <c r="BV628">
        <v>11</v>
      </c>
      <c r="BW628">
        <v>0</v>
      </c>
      <c r="BX628">
        <v>0</v>
      </c>
      <c r="BY628">
        <v>0</v>
      </c>
      <c r="BZ628">
        <v>0</v>
      </c>
      <c r="CA628">
        <v>18</v>
      </c>
      <c r="CB628">
        <v>16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f t="shared" si="6"/>
        <v>83</v>
      </c>
      <c r="CJ628">
        <f t="shared" si="7"/>
        <v>105</v>
      </c>
      <c r="CK628">
        <f t="shared" si="8"/>
        <v>188</v>
      </c>
      <c r="CL628" s="21">
        <f t="shared" si="9"/>
        <v>83</v>
      </c>
      <c r="CM628" s="21">
        <f t="shared" si="10"/>
        <v>105</v>
      </c>
      <c r="CN628" s="21">
        <f t="shared" si="11"/>
        <v>188</v>
      </c>
    </row>
    <row r="629" spans="1:92" x14ac:dyDescent="0.3">
      <c r="A629" s="25" t="s">
        <v>486</v>
      </c>
      <c r="B629" t="s">
        <v>108</v>
      </c>
      <c r="C629" t="s">
        <v>262</v>
      </c>
      <c r="D629">
        <v>136520</v>
      </c>
      <c r="E629" t="s">
        <v>263</v>
      </c>
      <c r="F629" t="s">
        <v>418</v>
      </c>
      <c r="G629" t="s">
        <v>112</v>
      </c>
      <c r="H629" t="s">
        <v>138</v>
      </c>
      <c r="I629" t="s">
        <v>114</v>
      </c>
      <c r="J629" t="s">
        <v>115</v>
      </c>
      <c r="K629" t="s">
        <v>116</v>
      </c>
      <c r="N629" t="s">
        <v>163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f t="shared" si="0"/>
        <v>1</v>
      </c>
      <c r="AF629">
        <f t="shared" si="1"/>
        <v>2</v>
      </c>
      <c r="AG629">
        <f t="shared" si="2"/>
        <v>3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f t="shared" si="3"/>
        <v>0</v>
      </c>
      <c r="AS629">
        <f t="shared" si="4"/>
        <v>0</v>
      </c>
      <c r="AT629">
        <f t="shared" si="5"/>
        <v>0</v>
      </c>
      <c r="CI629">
        <f t="shared" si="6"/>
        <v>0</v>
      </c>
      <c r="CJ629">
        <f t="shared" si="7"/>
        <v>0</v>
      </c>
      <c r="CK629">
        <f t="shared" si="8"/>
        <v>0</v>
      </c>
      <c r="CL629" s="21">
        <f t="shared" si="9"/>
        <v>1</v>
      </c>
      <c r="CM629" s="21">
        <f t="shared" si="10"/>
        <v>2</v>
      </c>
      <c r="CN629" s="21">
        <f t="shared" si="11"/>
        <v>3</v>
      </c>
    </row>
    <row r="630" spans="1:92" x14ac:dyDescent="0.3">
      <c r="A630" s="25" t="s">
        <v>486</v>
      </c>
      <c r="B630" t="s">
        <v>108</v>
      </c>
      <c r="C630" t="s">
        <v>262</v>
      </c>
      <c r="D630">
        <v>136521</v>
      </c>
      <c r="E630" t="s">
        <v>265</v>
      </c>
      <c r="F630" t="s">
        <v>266</v>
      </c>
      <c r="G630" t="s">
        <v>112</v>
      </c>
      <c r="H630" t="s">
        <v>138</v>
      </c>
      <c r="I630" t="s">
        <v>114</v>
      </c>
      <c r="J630" t="s">
        <v>115</v>
      </c>
      <c r="K630" t="s">
        <v>116</v>
      </c>
      <c r="N630" t="s">
        <v>163</v>
      </c>
      <c r="AE630">
        <f t="shared" si="0"/>
        <v>0</v>
      </c>
      <c r="AF630">
        <f t="shared" si="1"/>
        <v>0</v>
      </c>
      <c r="AG630">
        <f t="shared" si="2"/>
        <v>0</v>
      </c>
      <c r="AR630">
        <f t="shared" si="3"/>
        <v>0</v>
      </c>
      <c r="AS630">
        <f t="shared" si="4"/>
        <v>0</v>
      </c>
      <c r="AT630">
        <f t="shared" si="5"/>
        <v>0</v>
      </c>
      <c r="CI630">
        <f t="shared" si="6"/>
        <v>0</v>
      </c>
      <c r="CJ630">
        <f t="shared" si="7"/>
        <v>0</v>
      </c>
      <c r="CK630">
        <f t="shared" si="8"/>
        <v>0</v>
      </c>
      <c r="CL630" s="21">
        <f t="shared" si="9"/>
        <v>0</v>
      </c>
      <c r="CM630" s="21">
        <f t="shared" si="10"/>
        <v>0</v>
      </c>
      <c r="CN630" s="21">
        <f t="shared" si="11"/>
        <v>0</v>
      </c>
    </row>
    <row r="631" spans="1:92" x14ac:dyDescent="0.3">
      <c r="A631" s="25" t="s">
        <v>486</v>
      </c>
      <c r="B631" t="s">
        <v>108</v>
      </c>
      <c r="C631" t="s">
        <v>262</v>
      </c>
      <c r="D631">
        <v>136523</v>
      </c>
      <c r="E631" t="s">
        <v>267</v>
      </c>
      <c r="F631" t="s">
        <v>268</v>
      </c>
      <c r="G631" t="s">
        <v>112</v>
      </c>
      <c r="H631" t="s">
        <v>147</v>
      </c>
      <c r="I631" t="s">
        <v>114</v>
      </c>
      <c r="J631" t="s">
        <v>115</v>
      </c>
      <c r="K631" t="s">
        <v>116</v>
      </c>
      <c r="N631" t="s">
        <v>163</v>
      </c>
      <c r="O631">
        <v>1</v>
      </c>
      <c r="P631">
        <v>0</v>
      </c>
      <c r="Q631">
        <v>1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5</v>
      </c>
      <c r="Z631">
        <v>3</v>
      </c>
      <c r="AA631">
        <v>0</v>
      </c>
      <c r="AB631">
        <v>0</v>
      </c>
      <c r="AC631">
        <v>0</v>
      </c>
      <c r="AD631">
        <v>2</v>
      </c>
      <c r="AE631">
        <f t="shared" si="0"/>
        <v>8</v>
      </c>
      <c r="AF631">
        <f t="shared" si="1"/>
        <v>7</v>
      </c>
      <c r="AG631">
        <f t="shared" si="2"/>
        <v>15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f t="shared" si="3"/>
        <v>0</v>
      </c>
      <c r="AS631">
        <f t="shared" si="4"/>
        <v>0</v>
      </c>
      <c r="AT631">
        <f t="shared" si="5"/>
        <v>0</v>
      </c>
      <c r="CI631">
        <f t="shared" si="6"/>
        <v>0</v>
      </c>
      <c r="CJ631">
        <f t="shared" si="7"/>
        <v>0</v>
      </c>
      <c r="CK631">
        <f t="shared" si="8"/>
        <v>0</v>
      </c>
      <c r="CL631" s="21">
        <f t="shared" si="9"/>
        <v>8</v>
      </c>
      <c r="CM631" s="21">
        <f t="shared" si="10"/>
        <v>7</v>
      </c>
      <c r="CN631" s="21">
        <f t="shared" si="11"/>
        <v>15</v>
      </c>
    </row>
    <row r="632" spans="1:92" x14ac:dyDescent="0.3">
      <c r="A632" s="25" t="s">
        <v>486</v>
      </c>
      <c r="B632" t="s">
        <v>108</v>
      </c>
      <c r="C632" t="s">
        <v>262</v>
      </c>
      <c r="D632">
        <v>136525</v>
      </c>
      <c r="E632" t="s">
        <v>269</v>
      </c>
      <c r="F632" t="s">
        <v>270</v>
      </c>
      <c r="G632" t="s">
        <v>112</v>
      </c>
      <c r="H632" t="s">
        <v>147</v>
      </c>
      <c r="I632" t="s">
        <v>114</v>
      </c>
      <c r="J632" t="s">
        <v>115</v>
      </c>
      <c r="K632" t="s">
        <v>116</v>
      </c>
      <c r="N632" t="s">
        <v>163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f t="shared" si="0"/>
        <v>1</v>
      </c>
      <c r="AF632">
        <f t="shared" si="1"/>
        <v>1</v>
      </c>
      <c r="AG632">
        <f t="shared" si="2"/>
        <v>2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f t="shared" si="3"/>
        <v>0</v>
      </c>
      <c r="AS632">
        <f t="shared" si="4"/>
        <v>0</v>
      </c>
      <c r="AT632">
        <f t="shared" si="5"/>
        <v>0</v>
      </c>
      <c r="CI632">
        <f t="shared" si="6"/>
        <v>0</v>
      </c>
      <c r="CJ632">
        <f t="shared" si="7"/>
        <v>0</v>
      </c>
      <c r="CK632">
        <f t="shared" si="8"/>
        <v>0</v>
      </c>
      <c r="CL632" s="21">
        <f t="shared" si="9"/>
        <v>1</v>
      </c>
      <c r="CM632" s="21">
        <f t="shared" si="10"/>
        <v>1</v>
      </c>
      <c r="CN632" s="21">
        <f t="shared" si="11"/>
        <v>2</v>
      </c>
    </row>
    <row r="633" spans="1:92" x14ac:dyDescent="0.3">
      <c r="A633" s="25" t="s">
        <v>486</v>
      </c>
      <c r="B633" t="s">
        <v>108</v>
      </c>
      <c r="C633" t="s">
        <v>262</v>
      </c>
      <c r="D633">
        <v>482834</v>
      </c>
      <c r="E633" t="s">
        <v>277</v>
      </c>
      <c r="F633" t="s">
        <v>501</v>
      </c>
      <c r="G633" t="s">
        <v>112</v>
      </c>
      <c r="H633" t="s">
        <v>147</v>
      </c>
      <c r="I633" t="s">
        <v>123</v>
      </c>
      <c r="J633" t="s">
        <v>124</v>
      </c>
      <c r="K633" t="s">
        <v>116</v>
      </c>
      <c r="N633" t="s">
        <v>163</v>
      </c>
      <c r="AE633">
        <f t="shared" si="0"/>
        <v>0</v>
      </c>
      <c r="AF633">
        <f t="shared" si="1"/>
        <v>0</v>
      </c>
      <c r="AG633">
        <f t="shared" si="2"/>
        <v>0</v>
      </c>
      <c r="AR633">
        <f t="shared" si="3"/>
        <v>0</v>
      </c>
      <c r="AS633">
        <f t="shared" si="4"/>
        <v>0</v>
      </c>
      <c r="AT633">
        <f t="shared" si="5"/>
        <v>0</v>
      </c>
      <c r="CI633">
        <f t="shared" si="6"/>
        <v>0</v>
      </c>
      <c r="CJ633">
        <f t="shared" si="7"/>
        <v>0</v>
      </c>
      <c r="CK633">
        <f t="shared" si="8"/>
        <v>0</v>
      </c>
      <c r="CL633" s="21">
        <f t="shared" si="9"/>
        <v>0</v>
      </c>
      <c r="CM633" s="21">
        <f t="shared" si="10"/>
        <v>0</v>
      </c>
      <c r="CN633" s="21">
        <f t="shared" si="11"/>
        <v>0</v>
      </c>
    </row>
    <row r="634" spans="1:92" x14ac:dyDescent="0.3">
      <c r="A634" s="25" t="s">
        <v>486</v>
      </c>
      <c r="B634" t="s">
        <v>108</v>
      </c>
      <c r="C634" t="s">
        <v>262</v>
      </c>
      <c r="D634">
        <v>482835</v>
      </c>
      <c r="E634" t="s">
        <v>279</v>
      </c>
      <c r="F634" t="s">
        <v>280</v>
      </c>
      <c r="G634" t="s">
        <v>112</v>
      </c>
      <c r="H634" t="s">
        <v>147</v>
      </c>
      <c r="I634" t="s">
        <v>123</v>
      </c>
      <c r="J634" t="s">
        <v>124</v>
      </c>
      <c r="K634" t="s">
        <v>116</v>
      </c>
      <c r="N634" t="s">
        <v>163</v>
      </c>
      <c r="AE634">
        <f t="shared" si="0"/>
        <v>0</v>
      </c>
      <c r="AF634">
        <f t="shared" si="1"/>
        <v>0</v>
      </c>
      <c r="AG634">
        <f t="shared" si="2"/>
        <v>0</v>
      </c>
      <c r="AR634">
        <f t="shared" si="3"/>
        <v>0</v>
      </c>
      <c r="AS634">
        <f t="shared" si="4"/>
        <v>0</v>
      </c>
      <c r="AT634">
        <f t="shared" si="5"/>
        <v>0</v>
      </c>
      <c r="CI634">
        <f t="shared" si="6"/>
        <v>0</v>
      </c>
      <c r="CJ634">
        <f t="shared" si="7"/>
        <v>0</v>
      </c>
      <c r="CK634">
        <f t="shared" si="8"/>
        <v>0</v>
      </c>
      <c r="CL634" s="21">
        <f t="shared" si="9"/>
        <v>0</v>
      </c>
      <c r="CM634" s="21">
        <f t="shared" si="10"/>
        <v>0</v>
      </c>
      <c r="CN634" s="21">
        <f t="shared" si="11"/>
        <v>0</v>
      </c>
    </row>
    <row r="635" spans="1:92" x14ac:dyDescent="0.3">
      <c r="A635" s="25" t="s">
        <v>486</v>
      </c>
      <c r="B635" t="s">
        <v>108</v>
      </c>
      <c r="C635" t="s">
        <v>262</v>
      </c>
      <c r="D635">
        <v>482929</v>
      </c>
      <c r="E635" t="s">
        <v>283</v>
      </c>
      <c r="F635" t="s">
        <v>284</v>
      </c>
      <c r="G635" t="s">
        <v>112</v>
      </c>
      <c r="H635" t="s">
        <v>138</v>
      </c>
      <c r="I635" t="s">
        <v>123</v>
      </c>
      <c r="J635" t="s">
        <v>124</v>
      </c>
      <c r="K635" t="s">
        <v>116</v>
      </c>
      <c r="N635" t="s">
        <v>516</v>
      </c>
      <c r="AE635">
        <f t="shared" si="0"/>
        <v>0</v>
      </c>
      <c r="AF635">
        <f t="shared" si="1"/>
        <v>0</v>
      </c>
      <c r="AG635">
        <f t="shared" si="2"/>
        <v>0</v>
      </c>
      <c r="AR635">
        <f t="shared" si="3"/>
        <v>0</v>
      </c>
      <c r="AS635">
        <f t="shared" si="4"/>
        <v>0</v>
      </c>
      <c r="AT635">
        <f t="shared" si="5"/>
        <v>0</v>
      </c>
      <c r="AU635">
        <v>0</v>
      </c>
      <c r="AV635">
        <v>0</v>
      </c>
      <c r="AW635">
        <v>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f t="shared" si="6"/>
        <v>3</v>
      </c>
      <c r="CJ635">
        <f t="shared" si="7"/>
        <v>0</v>
      </c>
      <c r="CK635">
        <f t="shared" si="8"/>
        <v>3</v>
      </c>
      <c r="CL635" s="21">
        <f t="shared" si="9"/>
        <v>3</v>
      </c>
      <c r="CM635" s="21">
        <f t="shared" si="10"/>
        <v>0</v>
      </c>
      <c r="CN635" s="21">
        <f t="shared" si="11"/>
        <v>3</v>
      </c>
    </row>
    <row r="636" spans="1:92" x14ac:dyDescent="0.3">
      <c r="A636" s="25" t="s">
        <v>486</v>
      </c>
      <c r="B636" t="s">
        <v>108</v>
      </c>
      <c r="C636" t="s">
        <v>262</v>
      </c>
      <c r="D636">
        <v>482941</v>
      </c>
      <c r="E636" t="s">
        <v>285</v>
      </c>
      <c r="F636" t="s">
        <v>286</v>
      </c>
      <c r="G636" t="s">
        <v>112</v>
      </c>
      <c r="H636" t="s">
        <v>147</v>
      </c>
      <c r="I636" t="s">
        <v>123</v>
      </c>
      <c r="J636" t="s">
        <v>124</v>
      </c>
      <c r="K636" t="s">
        <v>116</v>
      </c>
      <c r="N636" t="s">
        <v>515</v>
      </c>
      <c r="AE636">
        <f t="shared" si="0"/>
        <v>0</v>
      </c>
      <c r="AF636">
        <f t="shared" si="1"/>
        <v>0</v>
      </c>
      <c r="AG636">
        <f t="shared" si="2"/>
        <v>0</v>
      </c>
      <c r="AR636">
        <f t="shared" si="3"/>
        <v>0</v>
      </c>
      <c r="AS636">
        <f t="shared" si="4"/>
        <v>0</v>
      </c>
      <c r="AT636">
        <f t="shared" si="5"/>
        <v>0</v>
      </c>
      <c r="CI636">
        <f t="shared" si="6"/>
        <v>0</v>
      </c>
      <c r="CJ636">
        <f t="shared" si="7"/>
        <v>0</v>
      </c>
      <c r="CK636">
        <f t="shared" si="8"/>
        <v>0</v>
      </c>
      <c r="CL636" s="21">
        <f t="shared" si="9"/>
        <v>0</v>
      </c>
      <c r="CM636" s="21">
        <f t="shared" si="10"/>
        <v>0</v>
      </c>
      <c r="CN636" s="21">
        <f t="shared" si="11"/>
        <v>0</v>
      </c>
    </row>
    <row r="637" spans="1:92" x14ac:dyDescent="0.3">
      <c r="A637" s="25" t="s">
        <v>486</v>
      </c>
      <c r="B637" t="s">
        <v>108</v>
      </c>
      <c r="C637" t="s">
        <v>289</v>
      </c>
      <c r="D637">
        <v>136527</v>
      </c>
      <c r="E637" t="s">
        <v>290</v>
      </c>
      <c r="F637" t="s">
        <v>291</v>
      </c>
      <c r="G637" t="s">
        <v>112</v>
      </c>
      <c r="H637" t="s">
        <v>174</v>
      </c>
      <c r="I637" t="s">
        <v>114</v>
      </c>
      <c r="J637" t="s">
        <v>115</v>
      </c>
      <c r="K637" t="s">
        <v>116</v>
      </c>
      <c r="N637" t="s">
        <v>163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4</v>
      </c>
      <c r="AB637">
        <v>4</v>
      </c>
      <c r="AC637">
        <v>0</v>
      </c>
      <c r="AD637">
        <v>0</v>
      </c>
      <c r="AE637">
        <f t="shared" si="0"/>
        <v>4</v>
      </c>
      <c r="AF637">
        <f t="shared" si="1"/>
        <v>4</v>
      </c>
      <c r="AG637">
        <f t="shared" si="2"/>
        <v>8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f t="shared" si="3"/>
        <v>0</v>
      </c>
      <c r="AS637">
        <f t="shared" si="4"/>
        <v>0</v>
      </c>
      <c r="AT637">
        <f t="shared" si="5"/>
        <v>0</v>
      </c>
      <c r="CI637">
        <f t="shared" si="6"/>
        <v>0</v>
      </c>
      <c r="CJ637">
        <f t="shared" si="7"/>
        <v>0</v>
      </c>
      <c r="CK637">
        <f t="shared" si="8"/>
        <v>0</v>
      </c>
      <c r="CL637" s="21">
        <f t="shared" si="9"/>
        <v>4</v>
      </c>
      <c r="CM637" s="21">
        <f t="shared" si="10"/>
        <v>4</v>
      </c>
      <c r="CN637" s="21">
        <f t="shared" si="11"/>
        <v>8</v>
      </c>
    </row>
    <row r="638" spans="1:92" x14ac:dyDescent="0.3">
      <c r="A638" s="25" t="s">
        <v>486</v>
      </c>
      <c r="B638" t="s">
        <v>108</v>
      </c>
      <c r="C638" t="s">
        <v>289</v>
      </c>
      <c r="D638">
        <v>136528</v>
      </c>
      <c r="E638" t="s">
        <v>292</v>
      </c>
      <c r="F638" t="s">
        <v>293</v>
      </c>
      <c r="G638" t="s">
        <v>112</v>
      </c>
      <c r="H638" t="s">
        <v>133</v>
      </c>
      <c r="I638" t="s">
        <v>114</v>
      </c>
      <c r="J638" t="s">
        <v>115</v>
      </c>
      <c r="K638" t="s">
        <v>116</v>
      </c>
      <c r="N638" t="s">
        <v>163</v>
      </c>
      <c r="O638">
        <v>5</v>
      </c>
      <c r="P638">
        <v>3</v>
      </c>
      <c r="Q638">
        <v>5</v>
      </c>
      <c r="R638">
        <v>9</v>
      </c>
      <c r="S638">
        <v>11</v>
      </c>
      <c r="T638">
        <v>8</v>
      </c>
      <c r="U638">
        <v>5</v>
      </c>
      <c r="V638">
        <v>10</v>
      </c>
      <c r="W638">
        <v>6</v>
      </c>
      <c r="X638">
        <v>11</v>
      </c>
      <c r="Y638">
        <v>23</v>
      </c>
      <c r="Z638">
        <v>14</v>
      </c>
      <c r="AA638">
        <v>53</v>
      </c>
      <c r="AB638">
        <v>60</v>
      </c>
      <c r="AC638">
        <v>1</v>
      </c>
      <c r="AD638">
        <v>1</v>
      </c>
      <c r="AE638">
        <f t="shared" si="0"/>
        <v>109</v>
      </c>
      <c r="AF638">
        <f t="shared" si="1"/>
        <v>116</v>
      </c>
      <c r="AG638">
        <f t="shared" si="2"/>
        <v>225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f t="shared" si="3"/>
        <v>0</v>
      </c>
      <c r="AS638">
        <f t="shared" si="4"/>
        <v>0</v>
      </c>
      <c r="AT638">
        <f t="shared" si="5"/>
        <v>0</v>
      </c>
      <c r="CI638">
        <f t="shared" si="6"/>
        <v>0</v>
      </c>
      <c r="CJ638">
        <f t="shared" si="7"/>
        <v>0</v>
      </c>
      <c r="CK638">
        <f t="shared" si="8"/>
        <v>0</v>
      </c>
      <c r="CL638" s="21">
        <f t="shared" si="9"/>
        <v>109</v>
      </c>
      <c r="CM638" s="21">
        <f t="shared" si="10"/>
        <v>116</v>
      </c>
      <c r="CN638" s="21">
        <f t="shared" si="11"/>
        <v>225</v>
      </c>
    </row>
    <row r="639" spans="1:92" x14ac:dyDescent="0.3">
      <c r="A639" s="25" t="s">
        <v>486</v>
      </c>
      <c r="B639" t="s">
        <v>108</v>
      </c>
      <c r="C639" t="s">
        <v>289</v>
      </c>
      <c r="D639">
        <v>136529</v>
      </c>
      <c r="E639" t="s">
        <v>294</v>
      </c>
      <c r="F639" t="s">
        <v>295</v>
      </c>
      <c r="G639" t="s">
        <v>112</v>
      </c>
      <c r="H639" t="s">
        <v>113</v>
      </c>
      <c r="I639" t="s">
        <v>114</v>
      </c>
      <c r="J639" t="s">
        <v>115</v>
      </c>
      <c r="K639" t="s">
        <v>116</v>
      </c>
      <c r="N639" t="s">
        <v>163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2</v>
      </c>
      <c r="V639">
        <v>0</v>
      </c>
      <c r="W639">
        <v>1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f t="shared" ref="AE639:AE670" si="12">SUM(O639,Q639,S639,U639,W639,Y639,AA639,AC639)</f>
        <v>4</v>
      </c>
      <c r="AF639">
        <f t="shared" ref="AF639:AF670" si="13">SUM(P639,R639,T639,V639,X639,Z639,AB639,AD639)</f>
        <v>2</v>
      </c>
      <c r="AG639">
        <f t="shared" ref="AG639:AG670" si="14">SUM(AE639:AF639)</f>
        <v>6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f t="shared" ref="AR639:AR670" si="15">SUM(AH639,AJ639,AL639,AN639,AP639,)</f>
        <v>0</v>
      </c>
      <c r="AS639">
        <f t="shared" ref="AS639:AS670" si="16">SUM(AI639,AK639,AM639,AO639,AQ639,)</f>
        <v>0</v>
      </c>
      <c r="AT639">
        <f t="shared" ref="AT639:AT670" si="17">SUM(AR639:AS639)</f>
        <v>0</v>
      </c>
      <c r="CI639">
        <f t="shared" ref="CI639:CI670" si="18">SUM(AU639,AW639,AY639,BA639,BC639,BE639,BG639,BI639,BK639,BM639,BO639,BQ639,BS639,BU639,BW639,BY639,CA639,CC639,CE639,CG639)</f>
        <v>0</v>
      </c>
      <c r="CJ639">
        <f t="shared" ref="CJ639:CJ670" si="19">SUM(AV639,AX639,AZ639,BB639,BD639,BF639,BH639,BJ639,BL639,BN639,BP639,BR639,BT639,BV639,BX639,BZ639,CB639,CD639,CF639,CH639)</f>
        <v>0</v>
      </c>
      <c r="CK639">
        <f t="shared" ref="CK639:CK670" si="20">SUM(CI639:CJ639)</f>
        <v>0</v>
      </c>
      <c r="CL639" s="21">
        <f t="shared" ref="CL639:CL670" si="21">SUM(AE639,AR639,CI639)</f>
        <v>4</v>
      </c>
      <c r="CM639" s="21">
        <f t="shared" ref="CM639:CM670" si="22">SUM(AF639,AS639,CJ639)</f>
        <v>2</v>
      </c>
      <c r="CN639" s="21">
        <f t="shared" ref="CN639:CN670" si="23">SUM(AG639,AT639,CK639)</f>
        <v>6</v>
      </c>
    </row>
    <row r="640" spans="1:92" x14ac:dyDescent="0.3">
      <c r="A640" s="25" t="s">
        <v>486</v>
      </c>
      <c r="B640" t="s">
        <v>108</v>
      </c>
      <c r="C640" t="s">
        <v>289</v>
      </c>
      <c r="D640">
        <v>136530</v>
      </c>
      <c r="E640" t="s">
        <v>296</v>
      </c>
      <c r="F640" t="s">
        <v>297</v>
      </c>
      <c r="G640" t="s">
        <v>112</v>
      </c>
      <c r="H640" t="s">
        <v>261</v>
      </c>
      <c r="I640" t="s">
        <v>114</v>
      </c>
      <c r="J640" t="s">
        <v>115</v>
      </c>
      <c r="K640" t="s">
        <v>116</v>
      </c>
      <c r="N640" t="s">
        <v>163</v>
      </c>
      <c r="O640">
        <v>0</v>
      </c>
      <c r="P640">
        <v>0</v>
      </c>
      <c r="Q640">
        <v>0</v>
      </c>
      <c r="R640">
        <v>0</v>
      </c>
      <c r="S640">
        <v>3</v>
      </c>
      <c r="T640">
        <v>2</v>
      </c>
      <c r="U640">
        <v>0</v>
      </c>
      <c r="V640">
        <v>0</v>
      </c>
      <c r="W640">
        <v>4</v>
      </c>
      <c r="X640">
        <v>6</v>
      </c>
      <c r="Y640">
        <v>2</v>
      </c>
      <c r="Z640">
        <v>0</v>
      </c>
      <c r="AA640">
        <v>3</v>
      </c>
      <c r="AB640">
        <v>4</v>
      </c>
      <c r="AC640">
        <v>0</v>
      </c>
      <c r="AD640">
        <v>0</v>
      </c>
      <c r="AE640">
        <f t="shared" si="12"/>
        <v>12</v>
      </c>
      <c r="AF640">
        <f t="shared" si="13"/>
        <v>12</v>
      </c>
      <c r="AG640">
        <f t="shared" si="14"/>
        <v>24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f t="shared" si="15"/>
        <v>0</v>
      </c>
      <c r="AS640">
        <f t="shared" si="16"/>
        <v>0</v>
      </c>
      <c r="AT640">
        <f t="shared" si="17"/>
        <v>0</v>
      </c>
      <c r="CI640">
        <f t="shared" si="18"/>
        <v>0</v>
      </c>
      <c r="CJ640">
        <f t="shared" si="19"/>
        <v>0</v>
      </c>
      <c r="CK640">
        <f t="shared" si="20"/>
        <v>0</v>
      </c>
      <c r="CL640" s="21">
        <f t="shared" si="21"/>
        <v>12</v>
      </c>
      <c r="CM640" s="21">
        <f t="shared" si="22"/>
        <v>12</v>
      </c>
      <c r="CN640" s="21">
        <f t="shared" si="23"/>
        <v>24</v>
      </c>
    </row>
    <row r="641" spans="1:92" x14ac:dyDescent="0.3">
      <c r="A641" s="25" t="s">
        <v>486</v>
      </c>
      <c r="B641" t="s">
        <v>108</v>
      </c>
      <c r="C641" t="s">
        <v>289</v>
      </c>
      <c r="D641">
        <v>136538</v>
      </c>
      <c r="E641" t="s">
        <v>298</v>
      </c>
      <c r="F641" t="s">
        <v>299</v>
      </c>
      <c r="G641" t="s">
        <v>112</v>
      </c>
      <c r="H641" t="s">
        <v>169</v>
      </c>
      <c r="I641" t="s">
        <v>114</v>
      </c>
      <c r="J641" t="s">
        <v>115</v>
      </c>
      <c r="K641" t="s">
        <v>116</v>
      </c>
      <c r="N641" t="s">
        <v>163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2</v>
      </c>
      <c r="X641">
        <v>3</v>
      </c>
      <c r="Y641">
        <v>0</v>
      </c>
      <c r="Z641">
        <v>3</v>
      </c>
      <c r="AA641">
        <v>1</v>
      </c>
      <c r="AB641">
        <v>2</v>
      </c>
      <c r="AC641">
        <v>1</v>
      </c>
      <c r="AD641">
        <v>0</v>
      </c>
      <c r="AE641">
        <f t="shared" si="12"/>
        <v>6</v>
      </c>
      <c r="AF641">
        <f t="shared" si="13"/>
        <v>9</v>
      </c>
      <c r="AG641">
        <f t="shared" si="14"/>
        <v>15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f t="shared" si="15"/>
        <v>0</v>
      </c>
      <c r="AS641">
        <f t="shared" si="16"/>
        <v>0</v>
      </c>
      <c r="AT641">
        <f t="shared" si="17"/>
        <v>0</v>
      </c>
      <c r="CI641">
        <f t="shared" si="18"/>
        <v>0</v>
      </c>
      <c r="CJ641">
        <f t="shared" si="19"/>
        <v>0</v>
      </c>
      <c r="CK641">
        <f t="shared" si="20"/>
        <v>0</v>
      </c>
      <c r="CL641" s="21">
        <f t="shared" si="21"/>
        <v>6</v>
      </c>
      <c r="CM641" s="21">
        <f t="shared" si="22"/>
        <v>9</v>
      </c>
      <c r="CN641" s="21">
        <f t="shared" si="23"/>
        <v>15</v>
      </c>
    </row>
    <row r="642" spans="1:92" x14ac:dyDescent="0.3">
      <c r="A642" s="25" t="s">
        <v>486</v>
      </c>
      <c r="B642" t="s">
        <v>108</v>
      </c>
      <c r="C642" t="s">
        <v>289</v>
      </c>
      <c r="D642">
        <v>340697</v>
      </c>
      <c r="E642" t="s">
        <v>300</v>
      </c>
      <c r="F642" t="s">
        <v>301</v>
      </c>
      <c r="G642" t="s">
        <v>112</v>
      </c>
      <c r="H642" t="s">
        <v>133</v>
      </c>
      <c r="I642" t="s">
        <v>114</v>
      </c>
      <c r="J642" t="s">
        <v>115</v>
      </c>
      <c r="K642" t="s">
        <v>116</v>
      </c>
      <c r="N642" t="s">
        <v>126</v>
      </c>
      <c r="AE642">
        <f t="shared" si="12"/>
        <v>0</v>
      </c>
      <c r="AF642">
        <f t="shared" si="13"/>
        <v>0</v>
      </c>
      <c r="AG642">
        <f t="shared" si="14"/>
        <v>0</v>
      </c>
      <c r="AR642">
        <f t="shared" si="15"/>
        <v>0</v>
      </c>
      <c r="AS642">
        <f t="shared" si="16"/>
        <v>0</v>
      </c>
      <c r="AT642">
        <f t="shared" si="17"/>
        <v>0</v>
      </c>
      <c r="AU642">
        <v>1</v>
      </c>
      <c r="AV642">
        <v>0</v>
      </c>
      <c r="AW642">
        <v>0</v>
      </c>
      <c r="AX642">
        <v>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</v>
      </c>
      <c r="BF642">
        <v>7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2</v>
      </c>
      <c r="BR642">
        <v>2</v>
      </c>
      <c r="BS642">
        <v>3</v>
      </c>
      <c r="BT642">
        <v>4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4</v>
      </c>
      <c r="CB642">
        <v>5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f t="shared" si="18"/>
        <v>12</v>
      </c>
      <c r="CJ642">
        <f t="shared" si="19"/>
        <v>21</v>
      </c>
      <c r="CK642">
        <f t="shared" si="20"/>
        <v>33</v>
      </c>
      <c r="CL642" s="21">
        <f t="shared" si="21"/>
        <v>12</v>
      </c>
      <c r="CM642" s="21">
        <f t="shared" si="22"/>
        <v>21</v>
      </c>
      <c r="CN642" s="21">
        <f t="shared" si="23"/>
        <v>33</v>
      </c>
    </row>
    <row r="643" spans="1:92" x14ac:dyDescent="0.3">
      <c r="A643" s="25" t="s">
        <v>486</v>
      </c>
      <c r="B643" t="s">
        <v>108</v>
      </c>
      <c r="C643" t="s">
        <v>289</v>
      </c>
      <c r="D643">
        <v>409329</v>
      </c>
      <c r="E643" t="s">
        <v>302</v>
      </c>
      <c r="F643" t="s">
        <v>502</v>
      </c>
      <c r="G643" t="s">
        <v>112</v>
      </c>
      <c r="H643" t="s">
        <v>217</v>
      </c>
      <c r="I643" t="s">
        <v>123</v>
      </c>
      <c r="J643" t="s">
        <v>124</v>
      </c>
      <c r="K643" t="s">
        <v>116</v>
      </c>
      <c r="N643" t="s">
        <v>163</v>
      </c>
      <c r="AE643">
        <f t="shared" si="12"/>
        <v>0</v>
      </c>
      <c r="AF643">
        <f t="shared" si="13"/>
        <v>0</v>
      </c>
      <c r="AG643">
        <f t="shared" si="14"/>
        <v>0</v>
      </c>
      <c r="AR643">
        <f t="shared" si="15"/>
        <v>0</v>
      </c>
      <c r="AS643">
        <f t="shared" si="16"/>
        <v>0</v>
      </c>
      <c r="AT643">
        <f t="shared" si="17"/>
        <v>0</v>
      </c>
      <c r="CI643">
        <f t="shared" si="18"/>
        <v>0</v>
      </c>
      <c r="CJ643">
        <f t="shared" si="19"/>
        <v>0</v>
      </c>
      <c r="CK643">
        <f t="shared" si="20"/>
        <v>0</v>
      </c>
      <c r="CL643" s="21">
        <f t="shared" si="21"/>
        <v>0</v>
      </c>
      <c r="CM643" s="21">
        <f t="shared" si="22"/>
        <v>0</v>
      </c>
      <c r="CN643" s="21">
        <f t="shared" si="23"/>
        <v>0</v>
      </c>
    </row>
    <row r="644" spans="1:92" x14ac:dyDescent="0.3">
      <c r="A644" s="25" t="s">
        <v>486</v>
      </c>
      <c r="B644" t="s">
        <v>108</v>
      </c>
      <c r="C644" t="s">
        <v>289</v>
      </c>
      <c r="D644">
        <v>409731</v>
      </c>
      <c r="E644" t="s">
        <v>503</v>
      </c>
      <c r="F644" t="s">
        <v>504</v>
      </c>
      <c r="G644" t="s">
        <v>112</v>
      </c>
      <c r="H644" t="s">
        <v>113</v>
      </c>
      <c r="I644" t="s">
        <v>123</v>
      </c>
      <c r="J644" t="s">
        <v>124</v>
      </c>
      <c r="K644" t="s">
        <v>116</v>
      </c>
      <c r="N644" t="s">
        <v>163</v>
      </c>
      <c r="AE644">
        <f t="shared" si="12"/>
        <v>0</v>
      </c>
      <c r="AF644">
        <f t="shared" si="13"/>
        <v>0</v>
      </c>
      <c r="AG644">
        <f t="shared" si="14"/>
        <v>0</v>
      </c>
      <c r="AR644">
        <f t="shared" si="15"/>
        <v>0</v>
      </c>
      <c r="AS644">
        <f t="shared" si="16"/>
        <v>0</v>
      </c>
      <c r="AT644">
        <f t="shared" si="17"/>
        <v>0</v>
      </c>
      <c r="CI644">
        <f t="shared" si="18"/>
        <v>0</v>
      </c>
      <c r="CJ644">
        <f t="shared" si="19"/>
        <v>0</v>
      </c>
      <c r="CK644">
        <f t="shared" si="20"/>
        <v>0</v>
      </c>
      <c r="CL644" s="21">
        <f t="shared" si="21"/>
        <v>0</v>
      </c>
      <c r="CM644" s="21">
        <f t="shared" si="22"/>
        <v>0</v>
      </c>
      <c r="CN644" s="21">
        <f t="shared" si="23"/>
        <v>0</v>
      </c>
    </row>
    <row r="645" spans="1:92" x14ac:dyDescent="0.3">
      <c r="A645" s="25" t="s">
        <v>486</v>
      </c>
      <c r="B645" t="s">
        <v>108</v>
      </c>
      <c r="C645" t="s">
        <v>289</v>
      </c>
      <c r="D645">
        <v>409737</v>
      </c>
      <c r="E645" t="s">
        <v>306</v>
      </c>
      <c r="F645" t="s">
        <v>505</v>
      </c>
      <c r="G645" t="s">
        <v>112</v>
      </c>
      <c r="H645" t="s">
        <v>174</v>
      </c>
      <c r="I645" t="s">
        <v>123</v>
      </c>
      <c r="J645" t="s">
        <v>124</v>
      </c>
      <c r="K645" t="s">
        <v>116</v>
      </c>
      <c r="N645" t="s">
        <v>126</v>
      </c>
      <c r="AE645">
        <f t="shared" si="12"/>
        <v>0</v>
      </c>
      <c r="AF645">
        <f t="shared" si="13"/>
        <v>0</v>
      </c>
      <c r="AG645">
        <f t="shared" si="14"/>
        <v>0</v>
      </c>
      <c r="AR645">
        <f t="shared" si="15"/>
        <v>0</v>
      </c>
      <c r="AS645">
        <f t="shared" si="16"/>
        <v>0</v>
      </c>
      <c r="AT645">
        <f t="shared" si="17"/>
        <v>0</v>
      </c>
      <c r="AU645">
        <v>1</v>
      </c>
      <c r="AV645">
        <v>0</v>
      </c>
      <c r="AW645">
        <v>4</v>
      </c>
      <c r="AX645">
        <v>5</v>
      </c>
      <c r="AY645">
        <v>4</v>
      </c>
      <c r="AZ645">
        <v>5</v>
      </c>
      <c r="BA645">
        <v>1</v>
      </c>
      <c r="BB645">
        <v>1</v>
      </c>
      <c r="BC645">
        <v>0</v>
      </c>
      <c r="BD645">
        <v>0</v>
      </c>
      <c r="BE645">
        <v>2</v>
      </c>
      <c r="BF645">
        <v>3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1</v>
      </c>
      <c r="BR645">
        <v>7</v>
      </c>
      <c r="BS645">
        <v>3</v>
      </c>
      <c r="BT645">
        <v>6</v>
      </c>
      <c r="BU645">
        <v>1</v>
      </c>
      <c r="BV645">
        <v>6</v>
      </c>
      <c r="BW645">
        <v>0</v>
      </c>
      <c r="BX645">
        <v>3</v>
      </c>
      <c r="BY645">
        <v>0</v>
      </c>
      <c r="BZ645">
        <v>0</v>
      </c>
      <c r="CA645">
        <v>4</v>
      </c>
      <c r="CB645">
        <v>7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f t="shared" si="18"/>
        <v>21</v>
      </c>
      <c r="CJ645">
        <f t="shared" si="19"/>
        <v>43</v>
      </c>
      <c r="CK645">
        <f t="shared" si="20"/>
        <v>64</v>
      </c>
      <c r="CL645" s="21">
        <f t="shared" si="21"/>
        <v>21</v>
      </c>
      <c r="CM645" s="21">
        <f t="shared" si="22"/>
        <v>43</v>
      </c>
      <c r="CN645" s="21">
        <f t="shared" si="23"/>
        <v>64</v>
      </c>
    </row>
    <row r="646" spans="1:92" x14ac:dyDescent="0.3">
      <c r="A646" s="25" t="s">
        <v>486</v>
      </c>
      <c r="B646" t="s">
        <v>108</v>
      </c>
      <c r="C646" t="s">
        <v>289</v>
      </c>
      <c r="D646">
        <v>482836</v>
      </c>
      <c r="E646" t="s">
        <v>506</v>
      </c>
      <c r="F646" t="s">
        <v>507</v>
      </c>
      <c r="G646" t="s">
        <v>112</v>
      </c>
      <c r="H646" t="s">
        <v>174</v>
      </c>
      <c r="I646" t="s">
        <v>123</v>
      </c>
      <c r="J646" t="s">
        <v>124</v>
      </c>
      <c r="K646" t="s">
        <v>116</v>
      </c>
      <c r="N646" t="s">
        <v>163</v>
      </c>
      <c r="AE646">
        <f t="shared" si="12"/>
        <v>0</v>
      </c>
      <c r="AF646">
        <f t="shared" si="13"/>
        <v>0</v>
      </c>
      <c r="AG646">
        <f t="shared" si="14"/>
        <v>0</v>
      </c>
      <c r="AR646">
        <f t="shared" si="15"/>
        <v>0</v>
      </c>
      <c r="AS646">
        <f t="shared" si="16"/>
        <v>0</v>
      </c>
      <c r="AT646">
        <f t="shared" si="17"/>
        <v>0</v>
      </c>
      <c r="CI646">
        <f t="shared" si="18"/>
        <v>0</v>
      </c>
      <c r="CJ646">
        <f t="shared" si="19"/>
        <v>0</v>
      </c>
      <c r="CK646">
        <f t="shared" si="20"/>
        <v>0</v>
      </c>
      <c r="CL646" s="21">
        <f t="shared" si="21"/>
        <v>0</v>
      </c>
      <c r="CM646" s="21">
        <f t="shared" si="22"/>
        <v>0</v>
      </c>
      <c r="CN646" s="21">
        <f t="shared" si="23"/>
        <v>0</v>
      </c>
    </row>
    <row r="647" spans="1:92" x14ac:dyDescent="0.3">
      <c r="A647" s="25" t="s">
        <v>486</v>
      </c>
      <c r="B647" t="s">
        <v>108</v>
      </c>
      <c r="C647" t="s">
        <v>289</v>
      </c>
      <c r="D647">
        <v>482890</v>
      </c>
      <c r="E647" t="s">
        <v>316</v>
      </c>
      <c r="F647" t="s">
        <v>317</v>
      </c>
      <c r="G647" t="s">
        <v>112</v>
      </c>
      <c r="H647" t="s">
        <v>261</v>
      </c>
      <c r="I647" t="s">
        <v>123</v>
      </c>
      <c r="J647" t="s">
        <v>124</v>
      </c>
      <c r="K647" t="s">
        <v>116</v>
      </c>
      <c r="N647" t="s">
        <v>163</v>
      </c>
      <c r="AE647">
        <f t="shared" si="12"/>
        <v>0</v>
      </c>
      <c r="AF647">
        <f t="shared" si="13"/>
        <v>0</v>
      </c>
      <c r="AG647">
        <f t="shared" si="14"/>
        <v>0</v>
      </c>
      <c r="AR647">
        <f t="shared" si="15"/>
        <v>0</v>
      </c>
      <c r="AS647">
        <f t="shared" si="16"/>
        <v>0</v>
      </c>
      <c r="AT647">
        <f t="shared" si="17"/>
        <v>0</v>
      </c>
      <c r="CI647">
        <f t="shared" si="18"/>
        <v>0</v>
      </c>
      <c r="CJ647">
        <f t="shared" si="19"/>
        <v>0</v>
      </c>
      <c r="CK647">
        <f t="shared" si="20"/>
        <v>0</v>
      </c>
      <c r="CL647" s="21">
        <f t="shared" si="21"/>
        <v>0</v>
      </c>
      <c r="CM647" s="21">
        <f t="shared" si="22"/>
        <v>0</v>
      </c>
      <c r="CN647" s="21">
        <f t="shared" si="23"/>
        <v>0</v>
      </c>
    </row>
    <row r="648" spans="1:92" x14ac:dyDescent="0.3">
      <c r="A648" s="25" t="s">
        <v>486</v>
      </c>
      <c r="B648" t="s">
        <v>108</v>
      </c>
      <c r="C648" t="s">
        <v>289</v>
      </c>
      <c r="D648">
        <v>482963</v>
      </c>
      <c r="E648" t="s">
        <v>324</v>
      </c>
      <c r="F648" t="s">
        <v>508</v>
      </c>
      <c r="G648" t="s">
        <v>112</v>
      </c>
      <c r="H648" t="s">
        <v>113</v>
      </c>
      <c r="I648" t="s">
        <v>123</v>
      </c>
      <c r="J648" t="s">
        <v>124</v>
      </c>
      <c r="K648" t="s">
        <v>116</v>
      </c>
      <c r="N648" t="s">
        <v>163</v>
      </c>
      <c r="AE648">
        <f t="shared" si="12"/>
        <v>0</v>
      </c>
      <c r="AF648">
        <f t="shared" si="13"/>
        <v>0</v>
      </c>
      <c r="AG648">
        <f t="shared" si="14"/>
        <v>0</v>
      </c>
      <c r="AR648">
        <f t="shared" si="15"/>
        <v>0</v>
      </c>
      <c r="AS648">
        <f t="shared" si="16"/>
        <v>0</v>
      </c>
      <c r="AT648">
        <f t="shared" si="17"/>
        <v>0</v>
      </c>
      <c r="CI648">
        <f t="shared" si="18"/>
        <v>0</v>
      </c>
      <c r="CJ648">
        <f t="shared" si="19"/>
        <v>0</v>
      </c>
      <c r="CK648">
        <f t="shared" si="20"/>
        <v>0</v>
      </c>
      <c r="CL648" s="21">
        <f t="shared" si="21"/>
        <v>0</v>
      </c>
      <c r="CM648" s="21">
        <f t="shared" si="22"/>
        <v>0</v>
      </c>
      <c r="CN648" s="21">
        <f t="shared" si="23"/>
        <v>0</v>
      </c>
    </row>
    <row r="649" spans="1:92" x14ac:dyDescent="0.3">
      <c r="A649" s="25" t="s">
        <v>486</v>
      </c>
      <c r="B649" t="s">
        <v>108</v>
      </c>
      <c r="C649" t="s">
        <v>289</v>
      </c>
      <c r="D649">
        <v>482978</v>
      </c>
      <c r="E649" t="s">
        <v>326</v>
      </c>
      <c r="F649" t="s">
        <v>327</v>
      </c>
      <c r="G649" t="s">
        <v>112</v>
      </c>
      <c r="H649" t="s">
        <v>113</v>
      </c>
      <c r="I649" t="s">
        <v>123</v>
      </c>
      <c r="J649" t="s">
        <v>124</v>
      </c>
      <c r="K649" t="s">
        <v>116</v>
      </c>
      <c r="N649" t="s">
        <v>163</v>
      </c>
      <c r="AE649">
        <f t="shared" si="12"/>
        <v>0</v>
      </c>
      <c r="AF649">
        <f t="shared" si="13"/>
        <v>0</v>
      </c>
      <c r="AG649">
        <f t="shared" si="14"/>
        <v>0</v>
      </c>
      <c r="AR649">
        <f t="shared" si="15"/>
        <v>0</v>
      </c>
      <c r="AS649">
        <f t="shared" si="16"/>
        <v>0</v>
      </c>
      <c r="AT649">
        <f t="shared" si="17"/>
        <v>0</v>
      </c>
      <c r="CI649">
        <f t="shared" si="18"/>
        <v>0</v>
      </c>
      <c r="CJ649">
        <f t="shared" si="19"/>
        <v>0</v>
      </c>
      <c r="CK649">
        <f t="shared" si="20"/>
        <v>0</v>
      </c>
      <c r="CL649" s="21">
        <f t="shared" si="21"/>
        <v>0</v>
      </c>
      <c r="CM649" s="21">
        <f t="shared" si="22"/>
        <v>0</v>
      </c>
      <c r="CN649" s="21">
        <f t="shared" si="23"/>
        <v>0</v>
      </c>
    </row>
    <row r="650" spans="1:92" x14ac:dyDescent="0.3">
      <c r="A650" s="25" t="s">
        <v>486</v>
      </c>
      <c r="B650" t="s">
        <v>108</v>
      </c>
      <c r="C650" t="s">
        <v>332</v>
      </c>
      <c r="D650">
        <v>136531</v>
      </c>
      <c r="E650" t="s">
        <v>333</v>
      </c>
      <c r="F650" t="s">
        <v>419</v>
      </c>
      <c r="G650" t="s">
        <v>112</v>
      </c>
      <c r="H650" t="s">
        <v>217</v>
      </c>
      <c r="I650" t="s">
        <v>114</v>
      </c>
      <c r="J650" t="s">
        <v>115</v>
      </c>
      <c r="K650" t="s">
        <v>116</v>
      </c>
      <c r="N650" t="s">
        <v>163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f t="shared" si="12"/>
        <v>1</v>
      </c>
      <c r="AF650">
        <f t="shared" si="13"/>
        <v>1</v>
      </c>
      <c r="AG650">
        <f t="shared" si="14"/>
        <v>2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f t="shared" si="15"/>
        <v>0</v>
      </c>
      <c r="AS650">
        <f t="shared" si="16"/>
        <v>0</v>
      </c>
      <c r="AT650">
        <f t="shared" si="17"/>
        <v>0</v>
      </c>
      <c r="CI650">
        <f t="shared" si="18"/>
        <v>0</v>
      </c>
      <c r="CJ650">
        <f t="shared" si="19"/>
        <v>0</v>
      </c>
      <c r="CK650">
        <f t="shared" si="20"/>
        <v>0</v>
      </c>
      <c r="CL650" s="21">
        <f t="shared" si="21"/>
        <v>1</v>
      </c>
      <c r="CM650" s="21">
        <f t="shared" si="22"/>
        <v>1</v>
      </c>
      <c r="CN650" s="21">
        <f t="shared" si="23"/>
        <v>2</v>
      </c>
    </row>
    <row r="651" spans="1:92" x14ac:dyDescent="0.3">
      <c r="A651" s="25" t="s">
        <v>486</v>
      </c>
      <c r="B651" t="s">
        <v>108</v>
      </c>
      <c r="C651" t="s">
        <v>332</v>
      </c>
      <c r="D651">
        <v>136532</v>
      </c>
      <c r="E651" t="s">
        <v>335</v>
      </c>
      <c r="F651" t="s">
        <v>336</v>
      </c>
      <c r="G651" t="s">
        <v>112</v>
      </c>
      <c r="H651" t="s">
        <v>122</v>
      </c>
      <c r="I651" t="s">
        <v>114</v>
      </c>
      <c r="J651" t="s">
        <v>115</v>
      </c>
      <c r="K651" t="s">
        <v>116</v>
      </c>
      <c r="N651" t="s">
        <v>163</v>
      </c>
      <c r="O651">
        <v>0</v>
      </c>
      <c r="P651">
        <v>0</v>
      </c>
      <c r="Q651">
        <v>1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f t="shared" si="12"/>
        <v>1</v>
      </c>
      <c r="AF651">
        <f t="shared" si="13"/>
        <v>2</v>
      </c>
      <c r="AG651">
        <f t="shared" si="14"/>
        <v>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f t="shared" si="15"/>
        <v>0</v>
      </c>
      <c r="AS651">
        <f t="shared" si="16"/>
        <v>0</v>
      </c>
      <c r="AT651">
        <f t="shared" si="17"/>
        <v>0</v>
      </c>
      <c r="CI651">
        <f t="shared" si="18"/>
        <v>0</v>
      </c>
      <c r="CJ651">
        <f t="shared" si="19"/>
        <v>0</v>
      </c>
      <c r="CK651">
        <f t="shared" si="20"/>
        <v>0</v>
      </c>
      <c r="CL651" s="21">
        <f t="shared" si="21"/>
        <v>1</v>
      </c>
      <c r="CM651" s="21">
        <f t="shared" si="22"/>
        <v>2</v>
      </c>
      <c r="CN651" s="21">
        <f t="shared" si="23"/>
        <v>3</v>
      </c>
    </row>
    <row r="652" spans="1:92" x14ac:dyDescent="0.3">
      <c r="A652" s="25" t="s">
        <v>486</v>
      </c>
      <c r="B652" t="s">
        <v>108</v>
      </c>
      <c r="C652" t="s">
        <v>332</v>
      </c>
      <c r="D652">
        <v>136533</v>
      </c>
      <c r="E652" t="s">
        <v>337</v>
      </c>
      <c r="F652" t="s">
        <v>338</v>
      </c>
      <c r="G652" t="s">
        <v>112</v>
      </c>
      <c r="H652" t="s">
        <v>122</v>
      </c>
      <c r="I652" t="s">
        <v>114</v>
      </c>
      <c r="J652" t="s">
        <v>115</v>
      </c>
      <c r="K652" t="s">
        <v>116</v>
      </c>
      <c r="N652" t="s">
        <v>163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f t="shared" si="12"/>
        <v>2</v>
      </c>
      <c r="AF652">
        <f t="shared" si="13"/>
        <v>2</v>
      </c>
      <c r="AG652">
        <f t="shared" si="14"/>
        <v>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f t="shared" si="15"/>
        <v>0</v>
      </c>
      <c r="AS652">
        <f t="shared" si="16"/>
        <v>0</v>
      </c>
      <c r="AT652">
        <f t="shared" si="17"/>
        <v>0</v>
      </c>
      <c r="CI652">
        <f t="shared" si="18"/>
        <v>0</v>
      </c>
      <c r="CJ652">
        <f t="shared" si="19"/>
        <v>0</v>
      </c>
      <c r="CK652">
        <f t="shared" si="20"/>
        <v>0</v>
      </c>
      <c r="CL652" s="21">
        <f t="shared" si="21"/>
        <v>2</v>
      </c>
      <c r="CM652" s="21">
        <f t="shared" si="22"/>
        <v>2</v>
      </c>
      <c r="CN652" s="21">
        <f t="shared" si="23"/>
        <v>4</v>
      </c>
    </row>
    <row r="653" spans="1:92" x14ac:dyDescent="0.3">
      <c r="A653" s="25" t="s">
        <v>486</v>
      </c>
      <c r="B653" t="s">
        <v>108</v>
      </c>
      <c r="C653" t="s">
        <v>332</v>
      </c>
      <c r="D653">
        <v>136534</v>
      </c>
      <c r="E653" t="s">
        <v>339</v>
      </c>
      <c r="F653" t="s">
        <v>420</v>
      </c>
      <c r="G653" t="s">
        <v>112</v>
      </c>
      <c r="H653" t="s">
        <v>129</v>
      </c>
      <c r="I653" t="s">
        <v>114</v>
      </c>
      <c r="J653" t="s">
        <v>115</v>
      </c>
      <c r="K653" t="s">
        <v>116</v>
      </c>
      <c r="N653" t="s">
        <v>163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f t="shared" si="12"/>
        <v>0</v>
      </c>
      <c r="AF653">
        <f t="shared" si="13"/>
        <v>1</v>
      </c>
      <c r="AG653">
        <f t="shared" si="14"/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f t="shared" si="15"/>
        <v>0</v>
      </c>
      <c r="AS653">
        <f t="shared" si="16"/>
        <v>0</v>
      </c>
      <c r="AT653">
        <f t="shared" si="17"/>
        <v>0</v>
      </c>
      <c r="CI653">
        <f t="shared" si="18"/>
        <v>0</v>
      </c>
      <c r="CJ653">
        <f t="shared" si="19"/>
        <v>0</v>
      </c>
      <c r="CK653">
        <f t="shared" si="20"/>
        <v>0</v>
      </c>
      <c r="CL653" s="21">
        <f t="shared" si="21"/>
        <v>0</v>
      </c>
      <c r="CM653" s="21">
        <f t="shared" si="22"/>
        <v>1</v>
      </c>
      <c r="CN653" s="21">
        <f t="shared" si="23"/>
        <v>1</v>
      </c>
    </row>
    <row r="654" spans="1:92" x14ac:dyDescent="0.3">
      <c r="A654" s="25" t="s">
        <v>486</v>
      </c>
      <c r="B654" t="s">
        <v>108</v>
      </c>
      <c r="C654" t="s">
        <v>332</v>
      </c>
      <c r="D654">
        <v>136535</v>
      </c>
      <c r="E654" t="s">
        <v>341</v>
      </c>
      <c r="F654" t="s">
        <v>342</v>
      </c>
      <c r="G654" t="s">
        <v>112</v>
      </c>
      <c r="H654" t="s">
        <v>186</v>
      </c>
      <c r="I654" t="s">
        <v>114</v>
      </c>
      <c r="J654" t="s">
        <v>115</v>
      </c>
      <c r="K654" t="s">
        <v>116</v>
      </c>
      <c r="N654" t="s">
        <v>163</v>
      </c>
      <c r="O654">
        <v>0</v>
      </c>
      <c r="P654">
        <v>0</v>
      </c>
      <c r="Q654">
        <v>7</v>
      </c>
      <c r="R654">
        <v>4</v>
      </c>
      <c r="S654">
        <v>4</v>
      </c>
      <c r="T654">
        <v>6</v>
      </c>
      <c r="U654">
        <v>1</v>
      </c>
      <c r="V654">
        <v>6</v>
      </c>
      <c r="W654">
        <v>3</v>
      </c>
      <c r="X654">
        <v>6</v>
      </c>
      <c r="Y654">
        <v>1</v>
      </c>
      <c r="Z654">
        <v>1</v>
      </c>
      <c r="AA654">
        <v>14</v>
      </c>
      <c r="AB654">
        <v>7</v>
      </c>
      <c r="AC654">
        <v>0</v>
      </c>
      <c r="AD654">
        <v>0</v>
      </c>
      <c r="AE654">
        <f t="shared" si="12"/>
        <v>30</v>
      </c>
      <c r="AF654">
        <f t="shared" si="13"/>
        <v>30</v>
      </c>
      <c r="AG654">
        <f t="shared" si="14"/>
        <v>60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f t="shared" si="15"/>
        <v>0</v>
      </c>
      <c r="AS654">
        <f t="shared" si="16"/>
        <v>0</v>
      </c>
      <c r="AT654">
        <f t="shared" si="17"/>
        <v>0</v>
      </c>
      <c r="CI654">
        <f t="shared" si="18"/>
        <v>0</v>
      </c>
      <c r="CJ654">
        <f t="shared" si="19"/>
        <v>0</v>
      </c>
      <c r="CK654">
        <f t="shared" si="20"/>
        <v>0</v>
      </c>
      <c r="CL654" s="21">
        <f t="shared" si="21"/>
        <v>30</v>
      </c>
      <c r="CM654" s="21">
        <f t="shared" si="22"/>
        <v>30</v>
      </c>
      <c r="CN654" s="21">
        <f t="shared" si="23"/>
        <v>60</v>
      </c>
    </row>
    <row r="655" spans="1:92" x14ac:dyDescent="0.3">
      <c r="A655" s="25" t="s">
        <v>486</v>
      </c>
      <c r="B655" t="s">
        <v>108</v>
      </c>
      <c r="C655" t="s">
        <v>332</v>
      </c>
      <c r="D655">
        <v>136536</v>
      </c>
      <c r="E655" t="s">
        <v>343</v>
      </c>
      <c r="F655" t="s">
        <v>344</v>
      </c>
      <c r="G655" t="s">
        <v>112</v>
      </c>
      <c r="H655" t="s">
        <v>217</v>
      </c>
      <c r="I655" t="s">
        <v>114</v>
      </c>
      <c r="J655" t="s">
        <v>115</v>
      </c>
      <c r="K655" t="s">
        <v>116</v>
      </c>
      <c r="N655" t="s">
        <v>163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9</v>
      </c>
      <c r="X655">
        <v>15</v>
      </c>
      <c r="Y655">
        <v>0</v>
      </c>
      <c r="Z655">
        <v>0</v>
      </c>
      <c r="AA655">
        <v>9</v>
      </c>
      <c r="AB655">
        <v>14</v>
      </c>
      <c r="AC655">
        <v>0</v>
      </c>
      <c r="AD655">
        <v>0</v>
      </c>
      <c r="AE655">
        <f t="shared" si="12"/>
        <v>20</v>
      </c>
      <c r="AF655">
        <f t="shared" si="13"/>
        <v>29</v>
      </c>
      <c r="AG655">
        <f t="shared" si="14"/>
        <v>49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f t="shared" si="15"/>
        <v>0</v>
      </c>
      <c r="AS655">
        <f t="shared" si="16"/>
        <v>0</v>
      </c>
      <c r="AT655">
        <f t="shared" si="17"/>
        <v>0</v>
      </c>
      <c r="CI655">
        <f t="shared" si="18"/>
        <v>0</v>
      </c>
      <c r="CJ655">
        <f t="shared" si="19"/>
        <v>0</v>
      </c>
      <c r="CK655">
        <f t="shared" si="20"/>
        <v>0</v>
      </c>
      <c r="CL655" s="21">
        <f t="shared" si="21"/>
        <v>20</v>
      </c>
      <c r="CM655" s="21">
        <f t="shared" si="22"/>
        <v>29</v>
      </c>
      <c r="CN655" s="21">
        <f t="shared" si="23"/>
        <v>49</v>
      </c>
    </row>
    <row r="656" spans="1:92" x14ac:dyDescent="0.3">
      <c r="A656" s="25" t="s">
        <v>486</v>
      </c>
      <c r="B656" t="s">
        <v>108</v>
      </c>
      <c r="C656" t="s">
        <v>332</v>
      </c>
      <c r="D656">
        <v>136537</v>
      </c>
      <c r="E656" t="s">
        <v>345</v>
      </c>
      <c r="F656" t="s">
        <v>346</v>
      </c>
      <c r="G656" t="s">
        <v>112</v>
      </c>
      <c r="H656" t="s">
        <v>191</v>
      </c>
      <c r="I656" t="s">
        <v>114</v>
      </c>
      <c r="J656" t="s">
        <v>115</v>
      </c>
      <c r="K656" t="s">
        <v>116</v>
      </c>
      <c r="N656" t="s">
        <v>163</v>
      </c>
      <c r="O656">
        <v>2</v>
      </c>
      <c r="P656">
        <v>1</v>
      </c>
      <c r="Q656">
        <v>1</v>
      </c>
      <c r="R656">
        <v>2</v>
      </c>
      <c r="S656">
        <v>0</v>
      </c>
      <c r="T656">
        <v>0</v>
      </c>
      <c r="U656">
        <v>10</v>
      </c>
      <c r="V656">
        <v>7</v>
      </c>
      <c r="W656">
        <v>8</v>
      </c>
      <c r="X656">
        <v>5</v>
      </c>
      <c r="Y656">
        <v>0</v>
      </c>
      <c r="Z656">
        <v>0</v>
      </c>
      <c r="AA656">
        <v>4</v>
      </c>
      <c r="AB656">
        <v>7</v>
      </c>
      <c r="AC656">
        <v>0</v>
      </c>
      <c r="AD656">
        <v>0</v>
      </c>
      <c r="AE656">
        <f t="shared" si="12"/>
        <v>25</v>
      </c>
      <c r="AF656">
        <f t="shared" si="13"/>
        <v>22</v>
      </c>
      <c r="AG656">
        <f t="shared" si="14"/>
        <v>47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f t="shared" si="15"/>
        <v>0</v>
      </c>
      <c r="AS656">
        <f t="shared" si="16"/>
        <v>0</v>
      </c>
      <c r="AT656">
        <f t="shared" si="17"/>
        <v>0</v>
      </c>
      <c r="CI656">
        <f t="shared" si="18"/>
        <v>0</v>
      </c>
      <c r="CJ656">
        <f t="shared" si="19"/>
        <v>0</v>
      </c>
      <c r="CK656">
        <f t="shared" si="20"/>
        <v>0</v>
      </c>
      <c r="CL656" s="21">
        <f t="shared" si="21"/>
        <v>25</v>
      </c>
      <c r="CM656" s="21">
        <f t="shared" si="22"/>
        <v>22</v>
      </c>
      <c r="CN656" s="21">
        <f t="shared" si="23"/>
        <v>47</v>
      </c>
    </row>
    <row r="657" spans="1:92" x14ac:dyDescent="0.3">
      <c r="A657" s="25" t="s">
        <v>486</v>
      </c>
      <c r="B657" t="s">
        <v>108</v>
      </c>
      <c r="C657" t="s">
        <v>332</v>
      </c>
      <c r="D657">
        <v>136543</v>
      </c>
      <c r="E657" t="s">
        <v>347</v>
      </c>
      <c r="F657" t="s">
        <v>411</v>
      </c>
      <c r="G657" t="s">
        <v>112</v>
      </c>
      <c r="H657" t="s">
        <v>136</v>
      </c>
      <c r="I657" t="s">
        <v>114</v>
      </c>
      <c r="J657" t="s">
        <v>115</v>
      </c>
      <c r="K657" t="s">
        <v>116</v>
      </c>
      <c r="N657" t="s">
        <v>163</v>
      </c>
      <c r="O657">
        <v>1</v>
      </c>
      <c r="P657">
        <v>2</v>
      </c>
      <c r="Q657">
        <v>1</v>
      </c>
      <c r="R657">
        <v>2</v>
      </c>
      <c r="S657">
        <v>0</v>
      </c>
      <c r="T657">
        <v>1</v>
      </c>
      <c r="U657">
        <v>3</v>
      </c>
      <c r="V657">
        <v>1</v>
      </c>
      <c r="W657">
        <v>0</v>
      </c>
      <c r="X657">
        <v>0</v>
      </c>
      <c r="Y657">
        <v>5</v>
      </c>
      <c r="Z657">
        <v>2</v>
      </c>
      <c r="AA657">
        <v>2</v>
      </c>
      <c r="AB657">
        <v>3</v>
      </c>
      <c r="AC657">
        <v>0</v>
      </c>
      <c r="AD657">
        <v>0</v>
      </c>
      <c r="AE657">
        <f t="shared" si="12"/>
        <v>12</v>
      </c>
      <c r="AF657">
        <f t="shared" si="13"/>
        <v>11</v>
      </c>
      <c r="AG657">
        <f t="shared" si="14"/>
        <v>23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f t="shared" si="15"/>
        <v>0</v>
      </c>
      <c r="AS657">
        <f t="shared" si="16"/>
        <v>0</v>
      </c>
      <c r="AT657">
        <f t="shared" si="17"/>
        <v>0</v>
      </c>
      <c r="CI657">
        <f t="shared" si="18"/>
        <v>0</v>
      </c>
      <c r="CJ657">
        <f t="shared" si="19"/>
        <v>0</v>
      </c>
      <c r="CK657">
        <f t="shared" si="20"/>
        <v>0</v>
      </c>
      <c r="CL657" s="21">
        <f t="shared" si="21"/>
        <v>12</v>
      </c>
      <c r="CM657" s="21">
        <f t="shared" si="22"/>
        <v>11</v>
      </c>
      <c r="CN657" s="21">
        <f t="shared" si="23"/>
        <v>23</v>
      </c>
    </row>
    <row r="658" spans="1:92" x14ac:dyDescent="0.3">
      <c r="A658" s="25" t="s">
        <v>486</v>
      </c>
      <c r="B658" t="s">
        <v>108</v>
      </c>
      <c r="C658" t="s">
        <v>332</v>
      </c>
      <c r="D658">
        <v>222501</v>
      </c>
      <c r="E658" t="s">
        <v>349</v>
      </c>
      <c r="F658" t="s">
        <v>350</v>
      </c>
      <c r="G658" t="s">
        <v>112</v>
      </c>
      <c r="H658" t="s">
        <v>351</v>
      </c>
      <c r="I658" t="s">
        <v>114</v>
      </c>
      <c r="J658" t="s">
        <v>115</v>
      </c>
      <c r="K658" t="s">
        <v>116</v>
      </c>
      <c r="N658" t="s">
        <v>163</v>
      </c>
      <c r="O658">
        <v>3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4</v>
      </c>
      <c r="V658">
        <v>0</v>
      </c>
      <c r="W658">
        <v>3</v>
      </c>
      <c r="X658">
        <v>6</v>
      </c>
      <c r="Y658">
        <v>2</v>
      </c>
      <c r="Z658">
        <v>1</v>
      </c>
      <c r="AA658">
        <v>4</v>
      </c>
      <c r="AB658">
        <v>7</v>
      </c>
      <c r="AC658">
        <v>0</v>
      </c>
      <c r="AD658">
        <v>0</v>
      </c>
      <c r="AE658">
        <f t="shared" si="12"/>
        <v>17</v>
      </c>
      <c r="AF658">
        <f t="shared" si="13"/>
        <v>15</v>
      </c>
      <c r="AG658">
        <f t="shared" si="14"/>
        <v>32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f t="shared" si="15"/>
        <v>0</v>
      </c>
      <c r="AS658">
        <f t="shared" si="16"/>
        <v>0</v>
      </c>
      <c r="AT658">
        <f t="shared" si="17"/>
        <v>0</v>
      </c>
      <c r="CI658">
        <f t="shared" si="18"/>
        <v>0</v>
      </c>
      <c r="CJ658">
        <f t="shared" si="19"/>
        <v>0</v>
      </c>
      <c r="CK658">
        <f t="shared" si="20"/>
        <v>0</v>
      </c>
      <c r="CL658" s="21">
        <f t="shared" si="21"/>
        <v>17</v>
      </c>
      <c r="CM658" s="21">
        <f t="shared" si="22"/>
        <v>15</v>
      </c>
      <c r="CN658" s="21">
        <f t="shared" si="23"/>
        <v>32</v>
      </c>
    </row>
    <row r="659" spans="1:92" x14ac:dyDescent="0.3">
      <c r="A659" s="25" t="s">
        <v>486</v>
      </c>
      <c r="B659" t="s">
        <v>108</v>
      </c>
      <c r="C659" t="s">
        <v>332</v>
      </c>
      <c r="D659">
        <v>305635</v>
      </c>
      <c r="E659" t="s">
        <v>352</v>
      </c>
      <c r="F659" t="s">
        <v>412</v>
      </c>
      <c r="G659" t="s">
        <v>112</v>
      </c>
      <c r="H659" t="s">
        <v>136</v>
      </c>
      <c r="I659" t="s">
        <v>114</v>
      </c>
      <c r="J659" t="s">
        <v>115</v>
      </c>
      <c r="K659" t="s">
        <v>116</v>
      </c>
      <c r="N659" t="s">
        <v>188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f t="shared" si="12"/>
        <v>0</v>
      </c>
      <c r="AF659">
        <f t="shared" si="13"/>
        <v>0</v>
      </c>
      <c r="AG659">
        <f t="shared" si="14"/>
        <v>0</v>
      </c>
      <c r="AH659">
        <v>1</v>
      </c>
      <c r="AI659">
        <v>3</v>
      </c>
      <c r="AJ659">
        <v>1</v>
      </c>
      <c r="AK659">
        <v>1</v>
      </c>
      <c r="AL659">
        <v>9</v>
      </c>
      <c r="AM659">
        <v>5</v>
      </c>
      <c r="AN659">
        <v>13</v>
      </c>
      <c r="AO659">
        <v>8</v>
      </c>
      <c r="AP659">
        <v>0</v>
      </c>
      <c r="AQ659">
        <v>0</v>
      </c>
      <c r="AR659">
        <f t="shared" si="15"/>
        <v>24</v>
      </c>
      <c r="AS659">
        <f t="shared" si="16"/>
        <v>17</v>
      </c>
      <c r="AT659">
        <f t="shared" si="17"/>
        <v>41</v>
      </c>
      <c r="CI659">
        <f t="shared" si="18"/>
        <v>0</v>
      </c>
      <c r="CJ659">
        <f t="shared" si="19"/>
        <v>0</v>
      </c>
      <c r="CK659">
        <f t="shared" si="20"/>
        <v>0</v>
      </c>
      <c r="CL659" s="21">
        <f t="shared" si="21"/>
        <v>24</v>
      </c>
      <c r="CM659" s="21">
        <f t="shared" si="22"/>
        <v>17</v>
      </c>
      <c r="CN659" s="21">
        <f t="shared" si="23"/>
        <v>41</v>
      </c>
    </row>
    <row r="660" spans="1:92" x14ac:dyDescent="0.3">
      <c r="A660" s="25" t="s">
        <v>486</v>
      </c>
      <c r="B660" t="s">
        <v>108</v>
      </c>
      <c r="C660" t="s">
        <v>332</v>
      </c>
      <c r="D660">
        <v>408390</v>
      </c>
      <c r="E660" t="s">
        <v>509</v>
      </c>
      <c r="F660" t="s">
        <v>510</v>
      </c>
      <c r="G660" t="s">
        <v>112</v>
      </c>
      <c r="H660" t="s">
        <v>136</v>
      </c>
      <c r="I660" t="s">
        <v>123</v>
      </c>
      <c r="J660" t="s">
        <v>124</v>
      </c>
      <c r="K660" t="s">
        <v>116</v>
      </c>
      <c r="N660" t="s">
        <v>163</v>
      </c>
      <c r="AE660">
        <f t="shared" si="12"/>
        <v>0</v>
      </c>
      <c r="AF660">
        <f t="shared" si="13"/>
        <v>0</v>
      </c>
      <c r="AG660">
        <f t="shared" si="14"/>
        <v>0</v>
      </c>
      <c r="AR660">
        <f t="shared" si="15"/>
        <v>0</v>
      </c>
      <c r="AS660">
        <f t="shared" si="16"/>
        <v>0</v>
      </c>
      <c r="AT660">
        <f t="shared" si="17"/>
        <v>0</v>
      </c>
      <c r="CI660">
        <f t="shared" si="18"/>
        <v>0</v>
      </c>
      <c r="CJ660">
        <f t="shared" si="19"/>
        <v>0</v>
      </c>
      <c r="CK660">
        <f t="shared" si="20"/>
        <v>0</v>
      </c>
      <c r="CL660" s="21">
        <f t="shared" si="21"/>
        <v>0</v>
      </c>
      <c r="CM660" s="21">
        <f t="shared" si="22"/>
        <v>0</v>
      </c>
      <c r="CN660" s="21">
        <f t="shared" si="23"/>
        <v>0</v>
      </c>
    </row>
    <row r="661" spans="1:92" x14ac:dyDescent="0.3">
      <c r="A661" s="25" t="s">
        <v>486</v>
      </c>
      <c r="B661" t="s">
        <v>108</v>
      </c>
      <c r="C661" t="s">
        <v>332</v>
      </c>
      <c r="D661">
        <v>408616</v>
      </c>
      <c r="E661" t="s">
        <v>358</v>
      </c>
      <c r="F661" t="s">
        <v>511</v>
      </c>
      <c r="G661" t="s">
        <v>112</v>
      </c>
      <c r="H661" t="s">
        <v>186</v>
      </c>
      <c r="I661" t="s">
        <v>123</v>
      </c>
      <c r="J661" t="s">
        <v>124</v>
      </c>
      <c r="K661" t="s">
        <v>116</v>
      </c>
      <c r="N661" t="s">
        <v>163</v>
      </c>
      <c r="AE661">
        <f t="shared" si="12"/>
        <v>0</v>
      </c>
      <c r="AF661">
        <f t="shared" si="13"/>
        <v>0</v>
      </c>
      <c r="AG661">
        <f t="shared" si="14"/>
        <v>0</v>
      </c>
      <c r="AR661">
        <f t="shared" si="15"/>
        <v>0</v>
      </c>
      <c r="AS661">
        <f t="shared" si="16"/>
        <v>0</v>
      </c>
      <c r="AT661">
        <f t="shared" si="17"/>
        <v>0</v>
      </c>
      <c r="CI661">
        <f t="shared" si="18"/>
        <v>0</v>
      </c>
      <c r="CJ661">
        <f t="shared" si="19"/>
        <v>0</v>
      </c>
      <c r="CK661">
        <f t="shared" si="20"/>
        <v>0</v>
      </c>
      <c r="CL661" s="21">
        <f t="shared" si="21"/>
        <v>0</v>
      </c>
      <c r="CM661" s="21">
        <f t="shared" si="22"/>
        <v>0</v>
      </c>
      <c r="CN661" s="21">
        <f t="shared" si="23"/>
        <v>0</v>
      </c>
    </row>
    <row r="662" spans="1:92" x14ac:dyDescent="0.3">
      <c r="A662" s="25" t="s">
        <v>486</v>
      </c>
      <c r="B662" t="s">
        <v>108</v>
      </c>
      <c r="C662" t="s">
        <v>332</v>
      </c>
      <c r="D662">
        <v>408783</v>
      </c>
      <c r="E662" t="s">
        <v>360</v>
      </c>
      <c r="F662" t="s">
        <v>512</v>
      </c>
      <c r="G662" t="s">
        <v>112</v>
      </c>
      <c r="H662" t="s">
        <v>136</v>
      </c>
      <c r="I662" t="s">
        <v>123</v>
      </c>
      <c r="J662" t="s">
        <v>124</v>
      </c>
      <c r="K662" t="s">
        <v>116</v>
      </c>
      <c r="N662" t="s">
        <v>163</v>
      </c>
      <c r="AE662">
        <f t="shared" si="12"/>
        <v>0</v>
      </c>
      <c r="AF662">
        <f t="shared" si="13"/>
        <v>0</v>
      </c>
      <c r="AG662">
        <f t="shared" si="14"/>
        <v>0</v>
      </c>
      <c r="AR662">
        <f t="shared" si="15"/>
        <v>0</v>
      </c>
      <c r="AS662">
        <f t="shared" si="16"/>
        <v>0</v>
      </c>
      <c r="AT662">
        <f t="shared" si="17"/>
        <v>0</v>
      </c>
      <c r="CI662">
        <f t="shared" si="18"/>
        <v>0</v>
      </c>
      <c r="CJ662">
        <f t="shared" si="19"/>
        <v>0</v>
      </c>
      <c r="CK662">
        <f t="shared" si="20"/>
        <v>0</v>
      </c>
      <c r="CL662" s="21">
        <f t="shared" si="21"/>
        <v>0</v>
      </c>
      <c r="CM662" s="21">
        <f t="shared" si="22"/>
        <v>0</v>
      </c>
      <c r="CN662" s="21">
        <f t="shared" si="23"/>
        <v>0</v>
      </c>
    </row>
    <row r="663" spans="1:92" x14ac:dyDescent="0.3">
      <c r="A663" s="25" t="s">
        <v>486</v>
      </c>
      <c r="B663" t="s">
        <v>108</v>
      </c>
      <c r="C663" t="s">
        <v>332</v>
      </c>
      <c r="D663">
        <v>408851</v>
      </c>
      <c r="E663" t="s">
        <v>364</v>
      </c>
      <c r="F663" t="s">
        <v>365</v>
      </c>
      <c r="G663" t="s">
        <v>112</v>
      </c>
      <c r="H663" t="s">
        <v>122</v>
      </c>
      <c r="I663" t="s">
        <v>123</v>
      </c>
      <c r="J663" t="s">
        <v>124</v>
      </c>
      <c r="K663" t="s">
        <v>116</v>
      </c>
      <c r="N663" t="s">
        <v>126</v>
      </c>
      <c r="AE663">
        <f t="shared" si="12"/>
        <v>0</v>
      </c>
      <c r="AF663">
        <f t="shared" si="13"/>
        <v>0</v>
      </c>
      <c r="AG663">
        <f t="shared" si="14"/>
        <v>0</v>
      </c>
      <c r="AR663">
        <f t="shared" si="15"/>
        <v>0</v>
      </c>
      <c r="AS663">
        <f t="shared" si="16"/>
        <v>0</v>
      </c>
      <c r="AT663">
        <f t="shared" si="17"/>
        <v>0</v>
      </c>
      <c r="AU663">
        <v>0</v>
      </c>
      <c r="AV663">
        <v>1</v>
      </c>
      <c r="AW663">
        <v>5</v>
      </c>
      <c r="AX663">
        <v>14</v>
      </c>
      <c r="AY663">
        <v>2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5</v>
      </c>
      <c r="BF663">
        <v>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6</v>
      </c>
      <c r="BT663">
        <v>8</v>
      </c>
      <c r="BU663">
        <v>6</v>
      </c>
      <c r="BV663">
        <v>5</v>
      </c>
      <c r="BW663">
        <v>2</v>
      </c>
      <c r="BX663">
        <v>0</v>
      </c>
      <c r="BY663">
        <v>0</v>
      </c>
      <c r="BZ663">
        <v>0</v>
      </c>
      <c r="CA663">
        <v>3</v>
      </c>
      <c r="CB663">
        <v>5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f t="shared" si="18"/>
        <v>29</v>
      </c>
      <c r="CJ663">
        <f t="shared" si="19"/>
        <v>38</v>
      </c>
      <c r="CK663">
        <f t="shared" si="20"/>
        <v>67</v>
      </c>
      <c r="CL663" s="21">
        <f t="shared" si="21"/>
        <v>29</v>
      </c>
      <c r="CM663" s="21">
        <f t="shared" si="22"/>
        <v>38</v>
      </c>
      <c r="CN663" s="21">
        <f t="shared" si="23"/>
        <v>67</v>
      </c>
    </row>
    <row r="664" spans="1:92" x14ac:dyDescent="0.3">
      <c r="A664" s="25" t="s">
        <v>486</v>
      </c>
      <c r="B664" t="s">
        <v>108</v>
      </c>
      <c r="C664" t="s">
        <v>332</v>
      </c>
      <c r="D664">
        <v>409734</v>
      </c>
      <c r="E664" t="s">
        <v>366</v>
      </c>
      <c r="F664" t="s">
        <v>367</v>
      </c>
      <c r="G664" t="s">
        <v>112</v>
      </c>
      <c r="H664" t="s">
        <v>186</v>
      </c>
      <c r="I664" t="s">
        <v>123</v>
      </c>
      <c r="J664" t="s">
        <v>124</v>
      </c>
      <c r="K664" t="s">
        <v>116</v>
      </c>
      <c r="N664" t="s">
        <v>126</v>
      </c>
      <c r="AE664">
        <f t="shared" si="12"/>
        <v>0</v>
      </c>
      <c r="AF664">
        <f t="shared" si="13"/>
        <v>0</v>
      </c>
      <c r="AG664">
        <f t="shared" si="14"/>
        <v>0</v>
      </c>
      <c r="AR664">
        <f t="shared" si="15"/>
        <v>0</v>
      </c>
      <c r="AS664">
        <f t="shared" si="16"/>
        <v>0</v>
      </c>
      <c r="AT664">
        <f t="shared" si="17"/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f t="shared" si="18"/>
        <v>1</v>
      </c>
      <c r="CJ664">
        <f t="shared" si="19"/>
        <v>0</v>
      </c>
      <c r="CK664">
        <f t="shared" si="20"/>
        <v>1</v>
      </c>
      <c r="CL664" s="21">
        <f t="shared" si="21"/>
        <v>1</v>
      </c>
      <c r="CM664" s="21">
        <f t="shared" si="22"/>
        <v>0</v>
      </c>
      <c r="CN664" s="21">
        <f t="shared" si="23"/>
        <v>1</v>
      </c>
    </row>
    <row r="665" spans="1:92" x14ac:dyDescent="0.3">
      <c r="A665" s="25" t="s">
        <v>486</v>
      </c>
      <c r="B665" t="s">
        <v>108</v>
      </c>
      <c r="C665" t="s">
        <v>332</v>
      </c>
      <c r="D665">
        <v>409888</v>
      </c>
      <c r="E665" t="s">
        <v>513</v>
      </c>
      <c r="F665" t="s">
        <v>514</v>
      </c>
      <c r="G665" t="s">
        <v>112</v>
      </c>
      <c r="H665" t="s">
        <v>136</v>
      </c>
      <c r="I665" t="s">
        <v>123</v>
      </c>
      <c r="J665" t="s">
        <v>124</v>
      </c>
      <c r="K665" t="s">
        <v>116</v>
      </c>
      <c r="N665" t="s">
        <v>163</v>
      </c>
      <c r="AE665">
        <f t="shared" si="12"/>
        <v>0</v>
      </c>
      <c r="AF665">
        <f t="shared" si="13"/>
        <v>0</v>
      </c>
      <c r="AG665">
        <f t="shared" si="14"/>
        <v>0</v>
      </c>
      <c r="AR665">
        <f t="shared" si="15"/>
        <v>0</v>
      </c>
      <c r="AS665">
        <f t="shared" si="16"/>
        <v>0</v>
      </c>
      <c r="AT665">
        <f t="shared" si="17"/>
        <v>0</v>
      </c>
      <c r="CI665">
        <f t="shared" si="18"/>
        <v>0</v>
      </c>
      <c r="CJ665">
        <f t="shared" si="19"/>
        <v>0</v>
      </c>
      <c r="CK665">
        <f t="shared" si="20"/>
        <v>0</v>
      </c>
      <c r="CL665" s="21">
        <f t="shared" si="21"/>
        <v>0</v>
      </c>
      <c r="CM665" s="21">
        <f t="shared" si="22"/>
        <v>0</v>
      </c>
      <c r="CN665" s="21">
        <f t="shared" si="23"/>
        <v>0</v>
      </c>
    </row>
    <row r="666" spans="1:92" x14ac:dyDescent="0.3">
      <c r="A666" s="25" t="s">
        <v>486</v>
      </c>
      <c r="B666" t="s">
        <v>108</v>
      </c>
      <c r="C666" t="s">
        <v>332</v>
      </c>
      <c r="D666">
        <v>482709</v>
      </c>
      <c r="E666" t="s">
        <v>374</v>
      </c>
      <c r="F666" t="s">
        <v>375</v>
      </c>
      <c r="G666" t="s">
        <v>112</v>
      </c>
      <c r="H666" t="s">
        <v>147</v>
      </c>
      <c r="I666" t="s">
        <v>123</v>
      </c>
      <c r="J666" t="s">
        <v>124</v>
      </c>
      <c r="K666" t="s">
        <v>116</v>
      </c>
      <c r="N666" t="s">
        <v>516</v>
      </c>
      <c r="AE666">
        <f t="shared" si="12"/>
        <v>0</v>
      </c>
      <c r="AF666">
        <f t="shared" si="13"/>
        <v>0</v>
      </c>
      <c r="AG666">
        <f t="shared" si="14"/>
        <v>0</v>
      </c>
      <c r="AR666">
        <f t="shared" si="15"/>
        <v>0</v>
      </c>
      <c r="AS666">
        <f t="shared" si="16"/>
        <v>0</v>
      </c>
      <c r="AT666">
        <f t="shared" si="17"/>
        <v>0</v>
      </c>
      <c r="CI666">
        <f t="shared" si="18"/>
        <v>0</v>
      </c>
      <c r="CJ666">
        <f t="shared" si="19"/>
        <v>0</v>
      </c>
      <c r="CK666">
        <f t="shared" si="20"/>
        <v>0</v>
      </c>
      <c r="CL666" s="21">
        <f t="shared" si="21"/>
        <v>0</v>
      </c>
      <c r="CM666" s="21">
        <f t="shared" si="22"/>
        <v>0</v>
      </c>
      <c r="CN666" s="21">
        <f t="shared" si="23"/>
        <v>0</v>
      </c>
    </row>
    <row r="667" spans="1:92" x14ac:dyDescent="0.3">
      <c r="A667" s="25" t="s">
        <v>486</v>
      </c>
      <c r="B667" t="s">
        <v>108</v>
      </c>
      <c r="C667" t="s">
        <v>332</v>
      </c>
      <c r="D667">
        <v>482891</v>
      </c>
      <c r="E667" t="s">
        <v>380</v>
      </c>
      <c r="F667" t="s">
        <v>381</v>
      </c>
      <c r="G667" t="s">
        <v>112</v>
      </c>
      <c r="H667" t="s">
        <v>191</v>
      </c>
      <c r="I667" t="s">
        <v>123</v>
      </c>
      <c r="J667" t="s">
        <v>124</v>
      </c>
      <c r="K667" t="s">
        <v>116</v>
      </c>
      <c r="N667" t="s">
        <v>163</v>
      </c>
      <c r="AE667">
        <f t="shared" si="12"/>
        <v>0</v>
      </c>
      <c r="AF667">
        <f t="shared" si="13"/>
        <v>0</v>
      </c>
      <c r="AG667">
        <f t="shared" si="14"/>
        <v>0</v>
      </c>
      <c r="AR667">
        <f t="shared" si="15"/>
        <v>0</v>
      </c>
      <c r="AS667">
        <f t="shared" si="16"/>
        <v>0</v>
      </c>
      <c r="AT667">
        <f t="shared" si="17"/>
        <v>0</v>
      </c>
      <c r="CI667">
        <f t="shared" si="18"/>
        <v>0</v>
      </c>
      <c r="CJ667">
        <f t="shared" si="19"/>
        <v>0</v>
      </c>
      <c r="CK667">
        <f t="shared" si="20"/>
        <v>0</v>
      </c>
      <c r="CL667" s="21">
        <f t="shared" si="21"/>
        <v>0</v>
      </c>
      <c r="CM667" s="21">
        <f t="shared" si="22"/>
        <v>0</v>
      </c>
      <c r="CN667" s="21">
        <f t="shared" si="23"/>
        <v>0</v>
      </c>
    </row>
    <row r="668" spans="1:92" x14ac:dyDescent="0.3">
      <c r="A668" s="25" t="s">
        <v>486</v>
      </c>
      <c r="B668" t="s">
        <v>108</v>
      </c>
      <c r="C668" t="s">
        <v>332</v>
      </c>
      <c r="D668">
        <v>482971</v>
      </c>
      <c r="E668" t="s">
        <v>390</v>
      </c>
      <c r="F668" t="s">
        <v>461</v>
      </c>
      <c r="G668" t="s">
        <v>112</v>
      </c>
      <c r="H668" t="s">
        <v>136</v>
      </c>
      <c r="I668" t="s">
        <v>123</v>
      </c>
      <c r="J668" t="s">
        <v>124</v>
      </c>
      <c r="K668" t="s">
        <v>116</v>
      </c>
      <c r="N668" t="s">
        <v>126</v>
      </c>
      <c r="AE668">
        <f t="shared" si="12"/>
        <v>0</v>
      </c>
      <c r="AF668">
        <f t="shared" si="13"/>
        <v>0</v>
      </c>
      <c r="AG668">
        <f t="shared" si="14"/>
        <v>0</v>
      </c>
      <c r="AR668">
        <f t="shared" si="15"/>
        <v>0</v>
      </c>
      <c r="AS668">
        <f t="shared" si="16"/>
        <v>0</v>
      </c>
      <c r="AT668">
        <f t="shared" si="17"/>
        <v>0</v>
      </c>
      <c r="AU668">
        <v>6</v>
      </c>
      <c r="AV668">
        <v>9</v>
      </c>
      <c r="AW668">
        <v>26</v>
      </c>
      <c r="AX668">
        <v>14</v>
      </c>
      <c r="AY668">
        <v>5</v>
      </c>
      <c r="AZ668">
        <v>7</v>
      </c>
      <c r="BA668">
        <v>2</v>
      </c>
      <c r="BB668">
        <v>1</v>
      </c>
      <c r="BC668">
        <v>0</v>
      </c>
      <c r="BD668">
        <v>0</v>
      </c>
      <c r="BE668">
        <v>16</v>
      </c>
      <c r="BF668">
        <v>19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3</v>
      </c>
      <c r="BR668">
        <v>16</v>
      </c>
      <c r="BS668">
        <v>31</v>
      </c>
      <c r="BT668">
        <v>25</v>
      </c>
      <c r="BU668">
        <v>13</v>
      </c>
      <c r="BV668">
        <v>13</v>
      </c>
      <c r="BW668">
        <v>0</v>
      </c>
      <c r="BX668">
        <v>2</v>
      </c>
      <c r="BY668">
        <v>0</v>
      </c>
      <c r="BZ668">
        <v>0</v>
      </c>
      <c r="CA668">
        <v>28</v>
      </c>
      <c r="CB668">
        <v>25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f t="shared" si="18"/>
        <v>130</v>
      </c>
      <c r="CJ668">
        <f t="shared" si="19"/>
        <v>131</v>
      </c>
      <c r="CK668">
        <f t="shared" si="20"/>
        <v>261</v>
      </c>
      <c r="CL668" s="21">
        <f t="shared" si="21"/>
        <v>130</v>
      </c>
      <c r="CM668" s="21">
        <f t="shared" si="22"/>
        <v>131</v>
      </c>
      <c r="CN668" s="21">
        <f t="shared" si="23"/>
        <v>261</v>
      </c>
    </row>
    <row r="669" spans="1:92" x14ac:dyDescent="0.3">
      <c r="A669" s="25" t="s">
        <v>486</v>
      </c>
      <c r="B669" t="s">
        <v>108</v>
      </c>
      <c r="C669" t="s">
        <v>332</v>
      </c>
      <c r="D669">
        <v>482987</v>
      </c>
      <c r="E669" t="s">
        <v>478</v>
      </c>
      <c r="F669" t="s">
        <v>479</v>
      </c>
      <c r="G669" t="s">
        <v>112</v>
      </c>
      <c r="H669" t="s">
        <v>191</v>
      </c>
      <c r="I669" t="s">
        <v>123</v>
      </c>
      <c r="J669" t="s">
        <v>124</v>
      </c>
      <c r="K669" t="s">
        <v>116</v>
      </c>
      <c r="N669" t="s">
        <v>119</v>
      </c>
      <c r="AE669">
        <f t="shared" si="12"/>
        <v>0</v>
      </c>
      <c r="AF669">
        <f t="shared" si="13"/>
        <v>0</v>
      </c>
      <c r="AG669">
        <f t="shared" si="14"/>
        <v>0</v>
      </c>
      <c r="AR669">
        <f t="shared" si="15"/>
        <v>0</v>
      </c>
      <c r="AS669">
        <f t="shared" si="16"/>
        <v>0</v>
      </c>
      <c r="AT669">
        <f t="shared" si="17"/>
        <v>0</v>
      </c>
      <c r="AU669">
        <v>0</v>
      </c>
      <c r="AV669">
        <v>1</v>
      </c>
      <c r="AW669">
        <v>0</v>
      </c>
      <c r="AX669">
        <v>0</v>
      </c>
      <c r="AY669">
        <v>1</v>
      </c>
      <c r="AZ669">
        <v>2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</v>
      </c>
      <c r="BS669">
        <v>0</v>
      </c>
      <c r="BT669">
        <v>0</v>
      </c>
      <c r="BU669">
        <v>1</v>
      </c>
      <c r="BV669">
        <v>1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f t="shared" si="18"/>
        <v>2</v>
      </c>
      <c r="CJ669">
        <f t="shared" si="19"/>
        <v>5</v>
      </c>
      <c r="CK669">
        <f t="shared" si="20"/>
        <v>7</v>
      </c>
      <c r="CL669" s="21">
        <f t="shared" si="21"/>
        <v>2</v>
      </c>
      <c r="CM669" s="21">
        <f t="shared" si="22"/>
        <v>5</v>
      </c>
      <c r="CN669" s="21">
        <f t="shared" si="23"/>
        <v>7</v>
      </c>
    </row>
    <row r="670" spans="1:92" x14ac:dyDescent="0.3">
      <c r="A670" s="25" t="s">
        <v>486</v>
      </c>
      <c r="B670" t="s">
        <v>108</v>
      </c>
      <c r="C670" t="s">
        <v>394</v>
      </c>
      <c r="D670">
        <v>360867</v>
      </c>
      <c r="E670" t="s">
        <v>395</v>
      </c>
      <c r="F670" t="s">
        <v>338</v>
      </c>
      <c r="G670" t="s">
        <v>112</v>
      </c>
      <c r="H670" t="s">
        <v>122</v>
      </c>
      <c r="I670" t="s">
        <v>114</v>
      </c>
      <c r="J670" t="s">
        <v>115</v>
      </c>
      <c r="K670" t="s">
        <v>116</v>
      </c>
      <c r="N670" t="s">
        <v>119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f t="shared" si="12"/>
        <v>0</v>
      </c>
      <c r="AF670">
        <f t="shared" si="13"/>
        <v>0</v>
      </c>
      <c r="AG670">
        <f t="shared" si="14"/>
        <v>0</v>
      </c>
      <c r="AH670">
        <v>0</v>
      </c>
      <c r="AI670">
        <v>0</v>
      </c>
      <c r="AJ670">
        <v>0</v>
      </c>
      <c r="AK670">
        <v>0</v>
      </c>
      <c r="AL670">
        <v>3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f t="shared" si="15"/>
        <v>3</v>
      </c>
      <c r="AS670">
        <f t="shared" si="16"/>
        <v>1</v>
      </c>
      <c r="AT670">
        <f t="shared" si="17"/>
        <v>4</v>
      </c>
      <c r="AU670">
        <v>0</v>
      </c>
      <c r="AV670">
        <v>0</v>
      </c>
      <c r="AW670">
        <v>3</v>
      </c>
      <c r="AX670">
        <v>3</v>
      </c>
      <c r="AY670">
        <v>1</v>
      </c>
      <c r="AZ670">
        <v>2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</v>
      </c>
      <c r="BR670">
        <v>2</v>
      </c>
      <c r="BS670">
        <v>3</v>
      </c>
      <c r="BT670">
        <v>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6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f t="shared" si="18"/>
        <v>15</v>
      </c>
      <c r="CJ670">
        <f t="shared" si="19"/>
        <v>12</v>
      </c>
      <c r="CK670">
        <f t="shared" si="20"/>
        <v>27</v>
      </c>
      <c r="CL670" s="21">
        <f t="shared" si="21"/>
        <v>18</v>
      </c>
      <c r="CM670" s="21">
        <f t="shared" si="22"/>
        <v>13</v>
      </c>
      <c r="CN670" s="21">
        <f t="shared" si="23"/>
        <v>31</v>
      </c>
    </row>
  </sheetData>
  <mergeCells count="38">
    <mergeCell ref="BY4:BZ4"/>
    <mergeCell ref="CA4:CB4"/>
    <mergeCell ref="CC4:CD4"/>
    <mergeCell ref="CE4:CF4"/>
    <mergeCell ref="CI4:CK4"/>
    <mergeCell ref="CL4:CN4"/>
    <mergeCell ref="CG4:CH4"/>
    <mergeCell ref="BG4:BH4"/>
    <mergeCell ref="BI4:BJ4"/>
    <mergeCell ref="BQ4:BR4"/>
    <mergeCell ref="BS4:BT4"/>
    <mergeCell ref="BU4:BV4"/>
    <mergeCell ref="BW4:BX4"/>
    <mergeCell ref="BK4:BL4"/>
    <mergeCell ref="BM4:BN4"/>
    <mergeCell ref="BO4:BP4"/>
    <mergeCell ref="AU4:AV4"/>
    <mergeCell ref="AW4:AX4"/>
    <mergeCell ref="AY4:AZ4"/>
    <mergeCell ref="BA4:BB4"/>
    <mergeCell ref="BC4:BD4"/>
    <mergeCell ref="BE4:BF4"/>
    <mergeCell ref="AH4:AI4"/>
    <mergeCell ref="AJ4:AK4"/>
    <mergeCell ref="AL4:AM4"/>
    <mergeCell ref="AN4:AO4"/>
    <mergeCell ref="AP4:AQ4"/>
    <mergeCell ref="AR4:AT4"/>
    <mergeCell ref="O3:CK3"/>
    <mergeCell ref="O4:P4"/>
    <mergeCell ref="Q4:R4"/>
    <mergeCell ref="S4:T4"/>
    <mergeCell ref="U4:V4"/>
    <mergeCell ref="W4:X4"/>
    <mergeCell ref="Y4:Z4"/>
    <mergeCell ref="AA4:AB4"/>
    <mergeCell ref="AC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Processed_4Ps</vt:lpstr>
      <vt:lpstr>RAWDATA_4Ps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Indicio</dc:creator>
  <cp:lastModifiedBy>Joseph Indicio</cp:lastModifiedBy>
  <dcterms:created xsi:type="dcterms:W3CDTF">2026-04-24T00:23:23Z</dcterms:created>
  <dcterms:modified xsi:type="dcterms:W3CDTF">2026-04-24T04:29:23Z</dcterms:modified>
</cp:coreProperties>
</file>